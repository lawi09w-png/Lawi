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PERIODS &amp; LESSON PLAN INSPECTION\2 February\"/>
    </mc:Choice>
  </mc:AlternateContent>
  <xr:revisionPtr revIDLastSave="0" documentId="13_ncr:1_{23F2C1E6-979D-43F4-B035-54275E922BC8}" xr6:coauthVersionLast="47" xr6:coauthVersionMax="47" xr10:uidLastSave="{00000000-0000-0000-0000-000000000000}"/>
  <bookViews>
    <workbookView xWindow="-120" yWindow="-120" windowWidth="24240" windowHeight="17520" tabRatio="634" activeTab="1" xr2:uid="{C20E4BB8-F718-485F-BC5B-EB9807202898}"/>
  </bookViews>
  <sheets>
    <sheet name="DATA" sheetId="2" r:id="rId1"/>
    <sheet name="OUTPUT" sheetId="1" r:id="rId2"/>
  </sheets>
  <definedNames>
    <definedName name="_xlnm.Print_Area" localSheetId="1">OUTPUT!$A$1:$K$61</definedName>
    <definedName name="_xlnm.Print_Titles" localSheetId="1">OUTPUT!$6:$6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4" i="1" l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K5" i="1"/>
  <c r="K4" i="1"/>
  <c r="B59" i="1"/>
  <c r="G9" i="1"/>
  <c r="G7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8" i="1"/>
  <c r="K7" i="1"/>
  <c r="I53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D56" i="1"/>
  <c r="E53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7" i="1" s="1"/>
  <c r="D6" i="2"/>
  <c r="D11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0" i="2"/>
  <c r="D9" i="2"/>
  <c r="D8" i="2"/>
  <c r="D7" i="2"/>
  <c r="I4" i="1"/>
  <c r="J4" i="1"/>
  <c r="H4" i="1"/>
  <c r="I5" i="1"/>
  <c r="H5" i="1"/>
  <c r="D57" i="1" l="1"/>
  <c r="G53" i="2"/>
  <c r="G49" i="2"/>
  <c r="G50" i="2"/>
  <c r="G51" i="2"/>
  <c r="J45" i="1"/>
  <c r="F31" i="1"/>
  <c r="J38" i="1"/>
  <c r="F38" i="1"/>
  <c r="J37" i="1"/>
  <c r="F37" i="1"/>
  <c r="J36" i="1"/>
  <c r="F36" i="1"/>
  <c r="J35" i="1"/>
  <c r="F35" i="1"/>
  <c r="F9" i="1"/>
  <c r="F8" i="1"/>
  <c r="J56" i="1"/>
  <c r="F57" i="1"/>
  <c r="F56" i="1"/>
  <c r="B56" i="1"/>
  <c r="B57" i="1"/>
  <c r="J5" i="1"/>
  <c r="J53" i="1"/>
  <c r="J48" i="1"/>
  <c r="J47" i="1"/>
  <c r="J44" i="1"/>
  <c r="J43" i="1"/>
  <c r="J42" i="1"/>
  <c r="J41" i="1"/>
  <c r="J40" i="1"/>
  <c r="J39" i="1"/>
  <c r="J33" i="1"/>
  <c r="J32" i="1"/>
  <c r="J31" i="1"/>
  <c r="J30" i="1"/>
  <c r="J29" i="1"/>
  <c r="J28" i="1"/>
  <c r="J27" i="1"/>
  <c r="J25" i="1"/>
  <c r="J24" i="1"/>
  <c r="J23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F53" i="1"/>
  <c r="F48" i="1"/>
  <c r="F47" i="1"/>
  <c r="F46" i="1"/>
  <c r="F45" i="1"/>
  <c r="F44" i="1"/>
  <c r="F43" i="1"/>
  <c r="F42" i="1"/>
  <c r="F41" i="1"/>
  <c r="F40" i="1"/>
  <c r="F39" i="1"/>
  <c r="F34" i="1"/>
  <c r="F33" i="1"/>
  <c r="F3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J7" i="1"/>
  <c r="J46" i="1"/>
  <c r="J34" i="1"/>
  <c r="J26" i="1"/>
  <c r="J22" i="1"/>
  <c r="H61" i="1" l="1"/>
  <c r="D58" i="1"/>
  <c r="J57" i="1"/>
  <c r="J58" i="1" s="1"/>
  <c r="E51" i="2"/>
  <c r="E49" i="2"/>
  <c r="E53" i="2"/>
  <c r="E50" i="2"/>
</calcChain>
</file>

<file path=xl/sharedStrings.xml><?xml version="1.0" encoding="utf-8"?>
<sst xmlns="http://schemas.openxmlformats.org/spreadsheetml/2006/main" count="242" uniqueCount="71">
  <si>
    <t>TEACHER'S NAME</t>
  </si>
  <si>
    <t>SUBJECT</t>
  </si>
  <si>
    <t>CLASS</t>
  </si>
  <si>
    <t>NOPT%</t>
  </si>
  <si>
    <t>NO Period</t>
  </si>
  <si>
    <t>NOP Taught</t>
  </si>
  <si>
    <t>NOL Plan</t>
  </si>
  <si>
    <t>NOLPP%</t>
  </si>
  <si>
    <t>BIOLOGY</t>
  </si>
  <si>
    <t>CHEMISTRY</t>
  </si>
  <si>
    <t>PHYSICS</t>
  </si>
  <si>
    <t>B.MATHS</t>
  </si>
  <si>
    <t>ENGLISH</t>
  </si>
  <si>
    <t>HISTORY</t>
  </si>
  <si>
    <t>GEOGRAPHY</t>
  </si>
  <si>
    <t>EDK</t>
  </si>
  <si>
    <t>CIVICS/HTM</t>
  </si>
  <si>
    <t>BS</t>
  </si>
  <si>
    <t>ICS</t>
  </si>
  <si>
    <t>F1</t>
  </si>
  <si>
    <t>F2</t>
  </si>
  <si>
    <t>F3</t>
  </si>
  <si>
    <t>F4</t>
  </si>
  <si>
    <t>MBWAWA MISWE SECONDARY SCHOOL</t>
  </si>
  <si>
    <t>PERIODS &amp; LESSON PLAN INSPECTION</t>
  </si>
  <si>
    <t>NOLP Prepd</t>
  </si>
  <si>
    <t>Muna A</t>
  </si>
  <si>
    <t>Shedi O</t>
  </si>
  <si>
    <t>Baraka W</t>
  </si>
  <si>
    <t>Annastazia F</t>
  </si>
  <si>
    <t>Andrew M</t>
  </si>
  <si>
    <t>Aneth D</t>
  </si>
  <si>
    <t>Sarah M</t>
  </si>
  <si>
    <t>Singo MJ</t>
  </si>
  <si>
    <t>Lawi W</t>
  </si>
  <si>
    <t>Gwamaka M</t>
  </si>
  <si>
    <t>Anna ND</t>
  </si>
  <si>
    <t>Oliver K</t>
  </si>
  <si>
    <t>Johnson P</t>
  </si>
  <si>
    <t>Bunuasi M</t>
  </si>
  <si>
    <t>Bakari S</t>
  </si>
  <si>
    <t>Mbawala K</t>
  </si>
  <si>
    <t>Alkado E</t>
  </si>
  <si>
    <t>Masepo J</t>
  </si>
  <si>
    <t>Bunzule J</t>
  </si>
  <si>
    <t>-</t>
  </si>
  <si>
    <t>Ramadhan K</t>
  </si>
  <si>
    <t>Stela M</t>
  </si>
  <si>
    <t>Comment</t>
  </si>
  <si>
    <t>WEEKLY PERIODS &amp; LESSON PLAN INSPECTION</t>
  </si>
  <si>
    <t>School</t>
  </si>
  <si>
    <t>Periods Taught Percentage</t>
  </si>
  <si>
    <t>L Plan Prepared Percentage</t>
  </si>
  <si>
    <t>KISWAHILI</t>
  </si>
  <si>
    <t>Hashim K</t>
  </si>
  <si>
    <t>Goodluck M</t>
  </si>
  <si>
    <t>Henry H</t>
  </si>
  <si>
    <t>ACADEMIC DEPARTMENT</t>
  </si>
  <si>
    <t>From</t>
  </si>
  <si>
    <t>To</t>
  </si>
  <si>
    <t>Mond</t>
  </si>
  <si>
    <t>NOP, NOL</t>
  </si>
  <si>
    <t>NOP Missing</t>
  </si>
  <si>
    <t>Thurs</t>
  </si>
  <si>
    <t>General comment:</t>
  </si>
  <si>
    <t>Gen.comment</t>
  </si>
  <si>
    <t>Initiated by …............., Sign…............</t>
  </si>
  <si>
    <t>Signed by HoS …................</t>
  </si>
  <si>
    <t>FEB</t>
  </si>
  <si>
    <t>09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</si>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</sst>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h:mm:ss\ AM/PM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b/>
      <sz val="12"/>
      <color rgb="FFFF0000"/>
      <name val="Tahoma"/>
      <family val="2"/>
    </font>
    <font>
      <sz val="12"/>
      <color rgb="FFFF0000"/>
      <name val="Tahoma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1" fillId="4" borderId="3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5" borderId="3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1" fillId="6" borderId="3" xfId="0" applyFont="1" applyFill="1" applyBorder="1"/>
    <xf numFmtId="0" fontId="1" fillId="6" borderId="9" xfId="0" applyFont="1" applyFill="1" applyBorder="1"/>
    <xf numFmtId="0" fontId="1" fillId="6" borderId="10" xfId="0" applyFont="1" applyFill="1" applyBorder="1"/>
    <xf numFmtId="0" fontId="2" fillId="0" borderId="7" xfId="0" applyFont="1" applyBorder="1" applyAlignment="1">
      <alignment horizontal="left" vertical="center" wrapText="1"/>
    </xf>
    <xf numFmtId="0" fontId="1" fillId="10" borderId="3" xfId="0" applyFont="1" applyFill="1" applyBorder="1"/>
    <xf numFmtId="0" fontId="1" fillId="10" borderId="9" xfId="0" applyFont="1" applyFill="1" applyBorder="1"/>
    <xf numFmtId="0" fontId="1" fillId="10" borderId="10" xfId="0" applyFont="1" applyFill="1" applyBorder="1"/>
    <xf numFmtId="0" fontId="1" fillId="2" borderId="3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3" borderId="3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2" fillId="0" borderId="8" xfId="0" applyFont="1" applyBorder="1" applyAlignment="1">
      <alignment horizontal="left" vertical="center" wrapText="1"/>
    </xf>
    <xf numFmtId="0" fontId="1" fillId="7" borderId="3" xfId="0" applyFont="1" applyFill="1" applyBorder="1"/>
    <xf numFmtId="0" fontId="1" fillId="7" borderId="9" xfId="0" applyFont="1" applyFill="1" applyBorder="1"/>
    <xf numFmtId="0" fontId="1" fillId="7" borderId="10" xfId="0" applyFont="1" applyFill="1" applyBorder="1"/>
    <xf numFmtId="0" fontId="1" fillId="8" borderId="3" xfId="0" applyFont="1" applyFill="1" applyBorder="1"/>
    <xf numFmtId="0" fontId="1" fillId="8" borderId="9" xfId="0" applyFont="1" applyFill="1" applyBorder="1"/>
    <xf numFmtId="0" fontId="1" fillId="8" borderId="10" xfId="0" applyFont="1" applyFill="1" applyBorder="1"/>
    <xf numFmtId="0" fontId="1" fillId="9" borderId="3" xfId="0" applyFont="1" applyFill="1" applyBorder="1"/>
    <xf numFmtId="0" fontId="1" fillId="9" borderId="9" xfId="0" applyFont="1" applyFill="1" applyBorder="1"/>
    <xf numFmtId="0" fontId="1" fillId="9" borderId="10" xfId="0" applyFont="1" applyFill="1" applyBorder="1"/>
    <xf numFmtId="0" fontId="1" fillId="10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right"/>
    </xf>
    <xf numFmtId="49" fontId="3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5" fontId="1" fillId="0" borderId="0" xfId="0" applyNumberFormat="1" applyFont="1" applyAlignment="1">
      <alignment horizontal="left"/>
    </xf>
    <xf numFmtId="0" fontId="1" fillId="6" borderId="18" xfId="0" applyFont="1" applyFill="1" applyBorder="1"/>
    <xf numFmtId="0" fontId="1" fillId="4" borderId="18" xfId="0" applyFont="1" applyFill="1" applyBorder="1"/>
    <xf numFmtId="0" fontId="2" fillId="0" borderId="0" xfId="0" applyFont="1" applyAlignment="1">
      <alignment vertical="center"/>
    </xf>
    <xf numFmtId="0" fontId="1" fillId="5" borderId="18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49" fontId="3" fillId="0" borderId="0" xfId="0" applyNumberFormat="1" applyFont="1" applyAlignment="1">
      <alignment horizontal="center"/>
    </xf>
    <xf numFmtId="49" fontId="3" fillId="0" borderId="6" xfId="0" applyNumberFormat="1" applyFont="1" applyBorder="1"/>
    <xf numFmtId="49" fontId="3" fillId="0" borderId="0" xfId="0" applyNumberFormat="1" applyFont="1" applyAlignment="1">
      <alignment horizontal="right"/>
    </xf>
    <xf numFmtId="0" fontId="4" fillId="0" borderId="5" xfId="0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0" borderId="6" xfId="0" applyBorder="1"/>
    <xf numFmtId="0" fontId="4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10" borderId="13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10" borderId="19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20" xfId="0" applyFont="1" applyBorder="1" applyAlignment="1">
      <alignment horizontal="right" wrapText="1"/>
    </xf>
    <xf numFmtId="0" fontId="0" fillId="0" borderId="0" xfId="0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4" borderId="8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left" vertical="center"/>
    </xf>
    <xf numFmtId="0" fontId="2" fillId="10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vertical="center"/>
    </xf>
    <xf numFmtId="164" fontId="2" fillId="0" borderId="0" xfId="0" applyNumberFormat="1" applyFont="1" applyAlignment="1">
      <alignment horizontal="right"/>
    </xf>
    <xf numFmtId="0" fontId="2" fillId="5" borderId="17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3B3E-D623-4BE1-9CC4-73143C634F20}">
  <sheetPr codeName="Sheet1">
    <tabColor rgb="FF00B050"/>
  </sheetPr>
  <dimension ref="A1:N58"/>
  <sheetViews>
    <sheetView workbookViewId="0">
      <pane xSplit="1" ySplit="5" topLeftCell="B6" activePane="bottomRight" state="frozen"/>
      <selection activeCell="G68" sqref="G68"/>
      <selection pane="topRight" activeCell="G68" sqref="G68"/>
      <selection pane="bottomLeft" activeCell="G68" sqref="G68"/>
      <selection pane="bottomRight" activeCell="G15" sqref="G15:G30"/>
    </sheetView>
  </sheetViews>
  <sheetFormatPr defaultRowHeight="15" x14ac:dyDescent="0.25"/>
  <cols>
    <col min="1" max="1" width="15.7109375" customWidth="1"/>
    <col min="2" max="2" width="15.28515625" customWidth="1"/>
    <col min="5" max="5" width="10.28515625" customWidth="1"/>
    <col min="6" max="6" width="20.42578125" customWidth="1"/>
    <col min="7" max="7" width="10.28515625" customWidth="1"/>
    <col min="8" max="8" width="17.28515625" customWidth="1"/>
  </cols>
  <sheetData>
    <row r="1" spans="1:8" ht="18" x14ac:dyDescent="0.25">
      <c r="A1" s="197" t="s">
        <v>23</v>
      </c>
      <c r="B1" s="197"/>
      <c r="C1" s="197"/>
      <c r="D1" s="197"/>
      <c r="E1" s="197"/>
      <c r="F1" s="197"/>
      <c r="G1" s="197"/>
    </row>
    <row r="2" spans="1:8" ht="18" x14ac:dyDescent="0.25">
      <c r="A2" s="197" t="s">
        <v>24</v>
      </c>
      <c r="B2" s="197"/>
      <c r="C2" s="197"/>
      <c r="D2" s="197"/>
      <c r="E2" s="197"/>
      <c r="F2" s="197"/>
      <c r="G2" s="197"/>
    </row>
    <row r="3" spans="1:8" ht="18" x14ac:dyDescent="0.25">
      <c r="A3" s="99"/>
      <c r="B3" s="100" t="s">
        <v>58</v>
      </c>
      <c r="C3" s="103" t="s">
        <v>60</v>
      </c>
      <c r="D3" s="101" t="s">
        <v>69</v>
      </c>
      <c r="E3" s="99" t="s">
        <v>68</v>
      </c>
      <c r="F3" s="193">
        <v>2026</v>
      </c>
      <c r="G3" s="99"/>
    </row>
    <row r="4" spans="1:8" ht="18.75" thickBot="1" x14ac:dyDescent="0.3">
      <c r="A4" s="87"/>
      <c r="B4" s="88" t="s">
        <v>59</v>
      </c>
      <c r="C4" s="90" t="s">
        <v>63</v>
      </c>
      <c r="D4" s="89" t="s">
        <v>70</v>
      </c>
      <c r="E4" s="33" t="s">
        <v>68</v>
      </c>
      <c r="F4" s="91">
        <v>2026</v>
      </c>
      <c r="G4" s="33"/>
      <c r="H4" s="159"/>
    </row>
    <row r="5" spans="1:8" ht="31.5" thickTop="1" thickBot="1" x14ac:dyDescent="0.3">
      <c r="A5" s="53" t="s">
        <v>1</v>
      </c>
      <c r="B5" s="43" t="s">
        <v>0</v>
      </c>
      <c r="C5" s="32" t="s">
        <v>2</v>
      </c>
      <c r="D5" s="32" t="s">
        <v>61</v>
      </c>
      <c r="E5" s="104" t="s">
        <v>62</v>
      </c>
      <c r="F5" s="160" t="s">
        <v>48</v>
      </c>
      <c r="G5" s="32" t="s">
        <v>25</v>
      </c>
      <c r="H5" s="32" t="s">
        <v>48</v>
      </c>
    </row>
    <row r="6" spans="1:8" ht="17.25" thickTop="1" thickBot="1" x14ac:dyDescent="0.3">
      <c r="A6" s="200" t="s">
        <v>8</v>
      </c>
      <c r="B6" s="44" t="s">
        <v>47</v>
      </c>
      <c r="C6" s="30" t="s">
        <v>19</v>
      </c>
      <c r="D6" s="30" t="str">
        <f>OUTPUT!D7&amp;" , "&amp;OUTPUT!H7</f>
        <v>6 , 4</v>
      </c>
      <c r="E6" s="105"/>
      <c r="F6" s="105"/>
      <c r="G6" s="132"/>
      <c r="H6" s="132"/>
    </row>
    <row r="7" spans="1:8" ht="17.25" thickTop="1" thickBot="1" x14ac:dyDescent="0.3">
      <c r="A7" s="200"/>
      <c r="B7" s="45" t="s">
        <v>47</v>
      </c>
      <c r="C7" s="12" t="s">
        <v>20</v>
      </c>
      <c r="D7" s="12" t="str">
        <f>OUTPUT!D8&amp;" , "&amp;OUTPUT!H8</f>
        <v>6 , 4</v>
      </c>
      <c r="E7" s="106"/>
      <c r="F7" s="106"/>
      <c r="G7" s="133"/>
      <c r="H7" s="133"/>
    </row>
    <row r="8" spans="1:8" ht="17.25" thickTop="1" thickBot="1" x14ac:dyDescent="0.3">
      <c r="A8" s="200"/>
      <c r="B8" s="45" t="s">
        <v>26</v>
      </c>
      <c r="C8" s="12" t="s">
        <v>21</v>
      </c>
      <c r="D8" s="12" t="str">
        <f>OUTPUT!D9&amp;" , "&amp;OUTPUT!H9</f>
        <v>8 , 4</v>
      </c>
      <c r="E8" s="106"/>
      <c r="F8" s="106"/>
      <c r="G8" s="133"/>
      <c r="H8" s="133"/>
    </row>
    <row r="9" spans="1:8" ht="17.25" thickTop="1" thickBot="1" x14ac:dyDescent="0.3">
      <c r="A9" s="200"/>
      <c r="B9" s="46" t="s">
        <v>26</v>
      </c>
      <c r="C9" s="14" t="s">
        <v>22</v>
      </c>
      <c r="D9" s="14" t="str">
        <f>OUTPUT!D10&amp;" , "&amp;OUTPUT!H10</f>
        <v>8 , 4</v>
      </c>
      <c r="E9" s="107"/>
      <c r="F9" s="107"/>
      <c r="G9" s="134"/>
      <c r="H9" s="134"/>
    </row>
    <row r="10" spans="1:8" ht="17.25" thickTop="1" thickBot="1" x14ac:dyDescent="0.3">
      <c r="A10" s="201" t="s">
        <v>9</v>
      </c>
      <c r="B10" s="47" t="s">
        <v>27</v>
      </c>
      <c r="C10" s="13" t="s">
        <v>19</v>
      </c>
      <c r="D10" s="13" t="str">
        <f>OUTPUT!D11&amp;" , "&amp;OUTPUT!H11</f>
        <v>6 , 4</v>
      </c>
      <c r="E10" s="108"/>
      <c r="F10" s="108"/>
      <c r="G10" s="135"/>
      <c r="H10" s="135"/>
    </row>
    <row r="11" spans="1:8" ht="17.25" thickTop="1" thickBot="1" x14ac:dyDescent="0.3">
      <c r="A11" s="201"/>
      <c r="B11" s="48" t="s">
        <v>27</v>
      </c>
      <c r="C11" s="4" t="s">
        <v>20</v>
      </c>
      <c r="D11" s="4" t="str">
        <f>OUTPUT!D12&amp;" , "&amp;OUTPUT!H12</f>
        <v>3 , 2</v>
      </c>
      <c r="E11" s="109"/>
      <c r="F11" s="109"/>
      <c r="G11" s="136"/>
      <c r="H11" s="136"/>
    </row>
    <row r="12" spans="1:8" ht="17.25" thickTop="1" thickBot="1" x14ac:dyDescent="0.3">
      <c r="A12" s="201"/>
      <c r="B12" s="48" t="s">
        <v>27</v>
      </c>
      <c r="C12" s="4" t="s">
        <v>21</v>
      </c>
      <c r="D12" s="4" t="str">
        <f>OUTPUT!D13&amp;" , "&amp;OUTPUT!H13</f>
        <v>4 , 2</v>
      </c>
      <c r="E12" s="109"/>
      <c r="F12" s="109"/>
      <c r="G12" s="136"/>
      <c r="H12" s="136"/>
    </row>
    <row r="13" spans="1:8" ht="17.25" thickTop="1" thickBot="1" x14ac:dyDescent="0.3">
      <c r="A13" s="201"/>
      <c r="B13" s="49" t="s">
        <v>27</v>
      </c>
      <c r="C13" s="16" t="s">
        <v>22</v>
      </c>
      <c r="D13" s="16" t="str">
        <f>OUTPUT!D14&amp;" , "&amp;OUTPUT!H14</f>
        <v>4 , 2</v>
      </c>
      <c r="E13" s="110"/>
      <c r="F13" s="110"/>
      <c r="G13" s="137"/>
      <c r="H13" s="137"/>
    </row>
    <row r="14" spans="1:8" ht="17.25" thickTop="1" thickBot="1" x14ac:dyDescent="0.3">
      <c r="A14" s="202" t="s">
        <v>10</v>
      </c>
      <c r="B14" s="50" t="s">
        <v>28</v>
      </c>
      <c r="C14" s="15" t="s">
        <v>19</v>
      </c>
      <c r="D14" s="15" t="str">
        <f>OUTPUT!D15&amp;" , "&amp;OUTPUT!H15</f>
        <v>6 , 4</v>
      </c>
      <c r="E14" s="111"/>
      <c r="F14" s="111"/>
      <c r="G14" s="138"/>
      <c r="H14" s="138"/>
    </row>
    <row r="15" spans="1:8" ht="17.25" thickTop="1" thickBot="1" x14ac:dyDescent="0.3">
      <c r="A15" s="202"/>
      <c r="B15" s="51" t="s">
        <v>28</v>
      </c>
      <c r="C15" s="5" t="s">
        <v>20</v>
      </c>
      <c r="D15" s="5" t="str">
        <f>OUTPUT!D16&amp;" , "&amp;OUTPUT!H16</f>
        <v>3 , 2</v>
      </c>
      <c r="E15" s="112"/>
      <c r="F15" s="112"/>
      <c r="G15" s="139"/>
      <c r="H15" s="139"/>
    </row>
    <row r="16" spans="1:8" ht="17.25" thickTop="1" thickBot="1" x14ac:dyDescent="0.3">
      <c r="A16" s="202"/>
      <c r="B16" s="51" t="s">
        <v>29</v>
      </c>
      <c r="C16" s="5" t="s">
        <v>21</v>
      </c>
      <c r="D16" s="5" t="str">
        <f>OUTPUT!D17&amp;" , "&amp;OUTPUT!H17</f>
        <v>4 , 2</v>
      </c>
      <c r="E16" s="112"/>
      <c r="F16" s="112"/>
      <c r="G16" s="139"/>
      <c r="H16" s="139"/>
    </row>
    <row r="17" spans="1:8" ht="17.25" thickTop="1" thickBot="1" x14ac:dyDescent="0.3">
      <c r="A17" s="202"/>
      <c r="B17" s="52" t="s">
        <v>29</v>
      </c>
      <c r="C17" s="17" t="s">
        <v>22</v>
      </c>
      <c r="D17" s="17" t="str">
        <f>OUTPUT!D18&amp;" , "&amp;OUTPUT!H18</f>
        <v>4 , 2</v>
      </c>
      <c r="E17" s="113"/>
      <c r="F17" s="113"/>
      <c r="G17" s="140"/>
      <c r="H17" s="140"/>
    </row>
    <row r="18" spans="1:8" ht="17.25" thickTop="1" thickBot="1" x14ac:dyDescent="0.3">
      <c r="A18" s="201" t="s">
        <v>11</v>
      </c>
      <c r="B18" s="47" t="s">
        <v>30</v>
      </c>
      <c r="C18" s="13" t="s">
        <v>19</v>
      </c>
      <c r="D18" s="13" t="str">
        <f>OUTPUT!D19&amp;" , "&amp;OUTPUT!H19</f>
        <v>12 , 6</v>
      </c>
      <c r="E18" s="108"/>
      <c r="F18" s="108"/>
      <c r="G18" s="135"/>
      <c r="H18" s="135"/>
    </row>
    <row r="19" spans="1:8" ht="17.25" thickTop="1" thickBot="1" x14ac:dyDescent="0.3">
      <c r="A19" s="201"/>
      <c r="B19" s="48" t="s">
        <v>30</v>
      </c>
      <c r="C19" s="4" t="s">
        <v>20</v>
      </c>
      <c r="D19" s="4" t="str">
        <f>OUTPUT!D20&amp;" , "&amp;OUTPUT!H20</f>
        <v>12 , 6</v>
      </c>
      <c r="E19" s="109"/>
      <c r="F19" s="109"/>
      <c r="G19" s="136"/>
      <c r="H19" s="136"/>
    </row>
    <row r="20" spans="1:8" ht="17.25" thickTop="1" thickBot="1" x14ac:dyDescent="0.3">
      <c r="A20" s="201"/>
      <c r="B20" s="48" t="s">
        <v>31</v>
      </c>
      <c r="C20" s="4" t="s">
        <v>21</v>
      </c>
      <c r="D20" s="4" t="str">
        <f>OUTPUT!D21&amp;" , "&amp;OUTPUT!H21</f>
        <v>12 , 6</v>
      </c>
      <c r="E20" s="109"/>
      <c r="F20" s="109"/>
      <c r="G20" s="136"/>
      <c r="H20" s="136"/>
    </row>
    <row r="21" spans="1:8" ht="17.25" thickTop="1" thickBot="1" x14ac:dyDescent="0.3">
      <c r="A21" s="201"/>
      <c r="B21" s="49" t="s">
        <v>31</v>
      </c>
      <c r="C21" s="16" t="s">
        <v>22</v>
      </c>
      <c r="D21" s="16" t="str">
        <f>OUTPUT!D22&amp;" , "&amp;OUTPUT!H22</f>
        <v>12 , 6</v>
      </c>
      <c r="E21" s="110"/>
      <c r="F21" s="110"/>
      <c r="G21" s="137"/>
      <c r="H21" s="137"/>
    </row>
    <row r="22" spans="1:8" ht="17.25" thickTop="1" thickBot="1" x14ac:dyDescent="0.3">
      <c r="A22" s="198" t="s">
        <v>12</v>
      </c>
      <c r="B22" s="34" t="s">
        <v>32</v>
      </c>
      <c r="C22" s="18" t="s">
        <v>19</v>
      </c>
      <c r="D22" s="18" t="str">
        <f>OUTPUT!D23&amp;" , "&amp;OUTPUT!H23</f>
        <v>12 , 6</v>
      </c>
      <c r="E22" s="114"/>
      <c r="F22" s="114"/>
      <c r="G22" s="141"/>
      <c r="H22" s="141"/>
    </row>
    <row r="23" spans="1:8" ht="17.25" thickTop="1" thickBot="1" x14ac:dyDescent="0.3">
      <c r="A23" s="198"/>
      <c r="B23" s="35" t="s">
        <v>33</v>
      </c>
      <c r="C23" s="6" t="s">
        <v>20</v>
      </c>
      <c r="D23" s="6" t="str">
        <f>OUTPUT!D24&amp;" , "&amp;OUTPUT!H24</f>
        <v>12 , 6</v>
      </c>
      <c r="E23" s="115"/>
      <c r="F23" s="115"/>
      <c r="G23" s="142"/>
      <c r="H23" s="142"/>
    </row>
    <row r="24" spans="1:8" ht="17.25" thickTop="1" thickBot="1" x14ac:dyDescent="0.3">
      <c r="A24" s="198"/>
      <c r="B24" s="35" t="s">
        <v>33</v>
      </c>
      <c r="C24" s="6" t="s">
        <v>21</v>
      </c>
      <c r="D24" s="6" t="str">
        <f>OUTPUT!D25&amp;" , "&amp;OUTPUT!H25</f>
        <v>12 , 6</v>
      </c>
      <c r="E24" s="115"/>
      <c r="F24" s="115"/>
      <c r="G24" s="142"/>
      <c r="H24" s="142"/>
    </row>
    <row r="25" spans="1:8" ht="17.25" thickTop="1" thickBot="1" x14ac:dyDescent="0.3">
      <c r="A25" s="198"/>
      <c r="B25" s="96" t="s">
        <v>34</v>
      </c>
      <c r="C25" s="20" t="s">
        <v>22</v>
      </c>
      <c r="D25" s="20" t="str">
        <f>OUTPUT!D26&amp;" , "&amp;OUTPUT!H26</f>
        <v>12 , 6</v>
      </c>
      <c r="E25" s="116"/>
      <c r="F25" s="116"/>
      <c r="G25" s="143"/>
      <c r="H25" s="143"/>
    </row>
    <row r="26" spans="1:8" ht="17.25" thickTop="1" thickBot="1" x14ac:dyDescent="0.3">
      <c r="A26" s="209" t="s">
        <v>13</v>
      </c>
      <c r="B26" s="37" t="s">
        <v>35</v>
      </c>
      <c r="C26" s="19" t="s">
        <v>19</v>
      </c>
      <c r="D26" s="19" t="str">
        <f>OUTPUT!D27&amp;" , "&amp;OUTPUT!H27</f>
        <v>6 , 4</v>
      </c>
      <c r="E26" s="117"/>
      <c r="F26" s="117"/>
      <c r="G26" s="144"/>
      <c r="H26" s="144"/>
    </row>
    <row r="27" spans="1:8" ht="17.25" thickTop="1" thickBot="1" x14ac:dyDescent="0.3">
      <c r="A27" s="209"/>
      <c r="B27" s="38" t="s">
        <v>35</v>
      </c>
      <c r="C27" s="7" t="s">
        <v>20</v>
      </c>
      <c r="D27" s="7" t="str">
        <f>OUTPUT!D28&amp;" , "&amp;OUTPUT!H28</f>
        <v>3 , 2</v>
      </c>
      <c r="E27" s="118"/>
      <c r="F27" s="118"/>
      <c r="G27" s="145"/>
      <c r="H27" s="145"/>
    </row>
    <row r="28" spans="1:8" ht="17.25" thickTop="1" thickBot="1" x14ac:dyDescent="0.3">
      <c r="A28" s="209"/>
      <c r="B28" s="38" t="s">
        <v>36</v>
      </c>
      <c r="C28" s="7" t="s">
        <v>21</v>
      </c>
      <c r="D28" s="7" t="str">
        <f>OUTPUT!D29&amp;" , "&amp;OUTPUT!H29</f>
        <v>6 , 4</v>
      </c>
      <c r="E28" s="118"/>
      <c r="F28" s="118"/>
      <c r="G28" s="145"/>
      <c r="H28" s="145"/>
    </row>
    <row r="29" spans="1:8" ht="17.25" thickTop="1" thickBot="1" x14ac:dyDescent="0.3">
      <c r="A29" s="209"/>
      <c r="B29" s="39" t="s">
        <v>36</v>
      </c>
      <c r="C29" s="22" t="s">
        <v>22</v>
      </c>
      <c r="D29" s="22" t="str">
        <f>OUTPUT!D30&amp;" , "&amp;OUTPUT!H30</f>
        <v>6 , 4</v>
      </c>
      <c r="E29" s="119"/>
      <c r="F29" s="119"/>
      <c r="G29" s="146"/>
      <c r="H29" s="146"/>
    </row>
    <row r="30" spans="1:8" ht="17.25" thickTop="1" thickBot="1" x14ac:dyDescent="0.3">
      <c r="A30" s="210" t="s">
        <v>14</v>
      </c>
      <c r="B30" s="40" t="s">
        <v>37</v>
      </c>
      <c r="C30" s="21" t="s">
        <v>19</v>
      </c>
      <c r="D30" s="21" t="str">
        <f>OUTPUT!D31&amp;" , "&amp;OUTPUT!H31</f>
        <v>6 , 4</v>
      </c>
      <c r="E30" s="120"/>
      <c r="F30" s="120"/>
      <c r="G30" s="147"/>
      <c r="H30" s="147"/>
    </row>
    <row r="31" spans="1:8" ht="17.25" thickTop="1" thickBot="1" x14ac:dyDescent="0.3">
      <c r="A31" s="210"/>
      <c r="B31" s="41" t="s">
        <v>38</v>
      </c>
      <c r="C31" s="8" t="s">
        <v>20</v>
      </c>
      <c r="D31" s="8" t="str">
        <f>OUTPUT!D32&amp;" , "&amp;OUTPUT!H32</f>
        <v>6 , 4</v>
      </c>
      <c r="E31" s="121"/>
      <c r="F31" s="121"/>
      <c r="G31" s="148"/>
      <c r="H31" s="148"/>
    </row>
    <row r="32" spans="1:8" ht="17.25" thickTop="1" thickBot="1" x14ac:dyDescent="0.3">
      <c r="A32" s="210"/>
      <c r="B32" s="41" t="s">
        <v>39</v>
      </c>
      <c r="C32" s="8" t="s">
        <v>21</v>
      </c>
      <c r="D32" s="8" t="str">
        <f>OUTPUT!D33&amp;" , "&amp;OUTPUT!H33</f>
        <v>6 , 4</v>
      </c>
      <c r="E32" s="121"/>
      <c r="F32" s="121"/>
      <c r="G32" s="148"/>
      <c r="H32" s="148"/>
    </row>
    <row r="33" spans="1:14" ht="17.25" thickTop="1" thickBot="1" x14ac:dyDescent="0.3">
      <c r="A33" s="210"/>
      <c r="B33" s="42" t="s">
        <v>39</v>
      </c>
      <c r="C33" s="23" t="s">
        <v>22</v>
      </c>
      <c r="D33" s="23" t="str">
        <f>OUTPUT!D34&amp;" , "&amp;OUTPUT!H34</f>
        <v>6 , 4</v>
      </c>
      <c r="E33" s="122"/>
      <c r="F33" s="122"/>
      <c r="G33" s="149"/>
      <c r="H33" s="149"/>
    </row>
    <row r="34" spans="1:14" ht="16.5" thickTop="1" x14ac:dyDescent="0.25">
      <c r="A34" s="204" t="s">
        <v>53</v>
      </c>
      <c r="B34" s="37" t="s">
        <v>55</v>
      </c>
      <c r="C34" s="19" t="s">
        <v>19</v>
      </c>
      <c r="D34" s="19" t="str">
        <f>OUTPUT!D35&amp;" , "&amp;OUTPUT!H35</f>
        <v>6 , 4</v>
      </c>
      <c r="E34" s="117"/>
      <c r="F34" s="117"/>
      <c r="G34" s="144"/>
      <c r="H34" s="144"/>
    </row>
    <row r="35" spans="1:14" ht="15.75" x14ac:dyDescent="0.25">
      <c r="A35" s="205"/>
      <c r="B35" s="38" t="s">
        <v>56</v>
      </c>
      <c r="C35" s="7" t="s">
        <v>20</v>
      </c>
      <c r="D35" s="7" t="str">
        <f>OUTPUT!D36&amp;" , "&amp;OUTPUT!H36</f>
        <v>6 , 4</v>
      </c>
      <c r="E35" s="118"/>
      <c r="F35" s="118"/>
      <c r="G35" s="145"/>
      <c r="H35" s="145"/>
    </row>
    <row r="36" spans="1:14" ht="15.75" x14ac:dyDescent="0.25">
      <c r="A36" s="205"/>
      <c r="B36" s="38" t="s">
        <v>55</v>
      </c>
      <c r="C36" s="7" t="s">
        <v>21</v>
      </c>
      <c r="D36" s="7" t="str">
        <f>OUTPUT!D37&amp;" , "&amp;OUTPUT!H37</f>
        <v>6 , 4</v>
      </c>
      <c r="E36" s="118"/>
      <c r="F36" s="118"/>
      <c r="G36" s="145"/>
      <c r="H36" s="145"/>
    </row>
    <row r="37" spans="1:14" ht="16.5" thickBot="1" x14ac:dyDescent="0.3">
      <c r="A37" s="206"/>
      <c r="B37" s="39" t="s">
        <v>54</v>
      </c>
      <c r="C37" s="22" t="s">
        <v>22</v>
      </c>
      <c r="D37" s="22" t="str">
        <f>OUTPUT!D38&amp;" , "&amp;OUTPUT!H38</f>
        <v>6 , 4</v>
      </c>
      <c r="E37" s="119"/>
      <c r="F37" s="119"/>
      <c r="G37" s="146"/>
      <c r="H37" s="146"/>
    </row>
    <row r="38" spans="1:14" ht="17.25" thickTop="1" thickBot="1" x14ac:dyDescent="0.3">
      <c r="A38" s="198" t="s">
        <v>15</v>
      </c>
      <c r="B38" s="34" t="s">
        <v>40</v>
      </c>
      <c r="C38" s="18" t="s">
        <v>19</v>
      </c>
      <c r="D38" s="18" t="str">
        <f>OUTPUT!D39&amp;" , "&amp;OUTPUT!H39</f>
        <v>4 , 2</v>
      </c>
      <c r="E38" s="114"/>
      <c r="F38" s="114"/>
      <c r="G38" s="141"/>
      <c r="H38" s="141"/>
    </row>
    <row r="39" spans="1:14" ht="17.25" thickTop="1" thickBot="1" x14ac:dyDescent="0.3">
      <c r="A39" s="198"/>
      <c r="B39" s="35" t="s">
        <v>41</v>
      </c>
      <c r="C39" s="6" t="s">
        <v>20</v>
      </c>
      <c r="D39" s="6" t="str">
        <f>OUTPUT!D40&amp;" , "&amp;OUTPUT!H40</f>
        <v>4 , 2</v>
      </c>
      <c r="E39" s="115"/>
      <c r="F39" s="115"/>
      <c r="G39" s="142"/>
      <c r="H39" s="142"/>
    </row>
    <row r="40" spans="1:14" ht="17.25" thickTop="1" thickBot="1" x14ac:dyDescent="0.3">
      <c r="A40" s="198"/>
      <c r="B40" s="35" t="s">
        <v>41</v>
      </c>
      <c r="C40" s="6" t="s">
        <v>21</v>
      </c>
      <c r="D40" s="6" t="str">
        <f>OUTPUT!D41&amp;" , "&amp;OUTPUT!H41</f>
        <v>4 , 2</v>
      </c>
      <c r="E40" s="115"/>
      <c r="F40" s="115"/>
      <c r="G40" s="142"/>
      <c r="H40" s="142"/>
      <c r="J40" s="97"/>
      <c r="K40" s="1"/>
      <c r="L40" s="3"/>
      <c r="M40" s="3"/>
      <c r="N40" s="3"/>
    </row>
    <row r="41" spans="1:14" ht="17.25" thickTop="1" thickBot="1" x14ac:dyDescent="0.3">
      <c r="A41" s="198"/>
      <c r="B41" s="36" t="s">
        <v>40</v>
      </c>
      <c r="C41" s="20" t="s">
        <v>22</v>
      </c>
      <c r="D41" s="20" t="str">
        <f>OUTPUT!D42&amp;" , "&amp;OUTPUT!H42</f>
        <v>4 , 2</v>
      </c>
      <c r="E41" s="116"/>
      <c r="F41" s="116"/>
      <c r="G41" s="143"/>
      <c r="H41" s="143"/>
      <c r="J41" s="97"/>
      <c r="K41" s="1"/>
      <c r="L41" s="3"/>
      <c r="M41" s="3"/>
      <c r="N41" s="3"/>
    </row>
    <row r="42" spans="1:14" ht="17.25" thickTop="1" thickBot="1" x14ac:dyDescent="0.3">
      <c r="A42" s="199" t="s">
        <v>16</v>
      </c>
      <c r="B42" s="54" t="s">
        <v>42</v>
      </c>
      <c r="C42" s="24" t="s">
        <v>19</v>
      </c>
      <c r="D42" s="24" t="str">
        <f>OUTPUT!D43&amp;" , "&amp;OUTPUT!H43</f>
        <v>4 , 2</v>
      </c>
      <c r="E42" s="123"/>
      <c r="F42" s="123"/>
      <c r="G42" s="150"/>
      <c r="H42" s="150"/>
      <c r="J42" s="97"/>
      <c r="K42" s="1"/>
      <c r="L42" s="3"/>
      <c r="M42" s="3"/>
      <c r="N42" s="3"/>
    </row>
    <row r="43" spans="1:14" ht="17.25" thickTop="1" thickBot="1" x14ac:dyDescent="0.3">
      <c r="A43" s="199"/>
      <c r="B43" s="55" t="s">
        <v>43</v>
      </c>
      <c r="C43" s="9" t="s">
        <v>20</v>
      </c>
      <c r="D43" s="9" t="str">
        <f>OUTPUT!D44&amp;" , "&amp;OUTPUT!H44</f>
        <v>4 , 2</v>
      </c>
      <c r="E43" s="124"/>
      <c r="F43" s="124"/>
      <c r="G43" s="151"/>
      <c r="H43" s="151"/>
      <c r="J43" s="97"/>
      <c r="K43" s="1"/>
      <c r="L43" s="3"/>
      <c r="M43" s="3"/>
      <c r="N43" s="3"/>
    </row>
    <row r="44" spans="1:14" ht="17.25" thickTop="1" thickBot="1" x14ac:dyDescent="0.3">
      <c r="A44" s="199"/>
      <c r="B44" s="55" t="s">
        <v>43</v>
      </c>
      <c r="C44" s="9" t="s">
        <v>21</v>
      </c>
      <c r="D44" s="9" t="str">
        <f>OUTPUT!D45&amp;" , "&amp;OUTPUT!H45</f>
        <v>4 , 2</v>
      </c>
      <c r="E44" s="124"/>
      <c r="F44" s="124"/>
      <c r="G44" s="151"/>
      <c r="H44" s="151"/>
    </row>
    <row r="45" spans="1:14" ht="17.25" thickTop="1" thickBot="1" x14ac:dyDescent="0.3">
      <c r="A45" s="199"/>
      <c r="B45" s="56" t="s">
        <v>42</v>
      </c>
      <c r="C45" s="26" t="s">
        <v>22</v>
      </c>
      <c r="D45" s="26" t="str">
        <f>OUTPUT!D46&amp;" , "&amp;OUTPUT!H46</f>
        <v>4 , 2</v>
      </c>
      <c r="E45" s="125"/>
      <c r="F45" s="125"/>
      <c r="G45" s="152"/>
      <c r="H45" s="152"/>
    </row>
    <row r="46" spans="1:14" ht="17.25" thickTop="1" thickBot="1" x14ac:dyDescent="0.3">
      <c r="A46" s="207" t="s">
        <v>17</v>
      </c>
      <c r="B46" s="57" t="s">
        <v>44</v>
      </c>
      <c r="C46" s="25" t="s">
        <v>19</v>
      </c>
      <c r="D46" s="25" t="str">
        <f>OUTPUT!D47&amp;" , "&amp;OUTPUT!H47</f>
        <v>4 , 2</v>
      </c>
      <c r="E46" s="126"/>
      <c r="F46" s="126"/>
      <c r="G46" s="153"/>
      <c r="H46" s="153"/>
    </row>
    <row r="47" spans="1:14" ht="17.25" thickTop="1" thickBot="1" x14ac:dyDescent="0.3">
      <c r="A47" s="207"/>
      <c r="B47" s="58" t="s">
        <v>44</v>
      </c>
      <c r="C47" s="10" t="s">
        <v>20</v>
      </c>
      <c r="D47" s="10" t="str">
        <f>OUTPUT!D48&amp;" , "&amp;OUTPUT!H48</f>
        <v>4 , 2</v>
      </c>
      <c r="E47" s="127"/>
      <c r="F47" s="127"/>
      <c r="G47" s="154"/>
      <c r="H47" s="154"/>
    </row>
    <row r="48" spans="1:14" ht="17.25" thickTop="1" thickBot="1" x14ac:dyDescent="0.3">
      <c r="A48" s="207"/>
      <c r="B48" s="58" t="s">
        <v>45</v>
      </c>
      <c r="C48" s="10" t="s">
        <v>21</v>
      </c>
      <c r="D48" s="10" t="str">
        <f>OUTPUT!D49&amp;" , "&amp;OUTPUT!H49</f>
        <v>- , -</v>
      </c>
      <c r="E48" s="127" t="s">
        <v>45</v>
      </c>
      <c r="F48" s="127"/>
      <c r="G48" s="154" t="s">
        <v>45</v>
      </c>
      <c r="H48" s="154"/>
    </row>
    <row r="49" spans="1:8" ht="17.25" thickTop="1" thickBot="1" x14ac:dyDescent="0.3">
      <c r="A49" s="207"/>
      <c r="B49" s="59" t="s">
        <v>45</v>
      </c>
      <c r="C49" s="28" t="s">
        <v>22</v>
      </c>
      <c r="D49" s="28" t="str">
        <f>OUTPUT!D50&amp;" , "&amp;OUTPUT!H50</f>
        <v>- , -</v>
      </c>
      <c r="E49" s="128" t="str">
        <f>OUTPUT!E50</f>
        <v>-</v>
      </c>
      <c r="F49" s="128"/>
      <c r="G49" s="155" t="str">
        <f>OUTPUT!F50</f>
        <v>-</v>
      </c>
      <c r="H49" s="155"/>
    </row>
    <row r="50" spans="1:8" ht="17.25" thickTop="1" thickBot="1" x14ac:dyDescent="0.3">
      <c r="A50" s="208" t="s">
        <v>18</v>
      </c>
      <c r="B50" s="60" t="s">
        <v>45</v>
      </c>
      <c r="C50" s="27" t="s">
        <v>19</v>
      </c>
      <c r="D50" s="27" t="str">
        <f>OUTPUT!D51&amp;" , "&amp;OUTPUT!H51</f>
        <v>- , -</v>
      </c>
      <c r="E50" s="129" t="str">
        <f>OUTPUT!E51</f>
        <v>-</v>
      </c>
      <c r="F50" s="129"/>
      <c r="G50" s="156" t="str">
        <f>OUTPUT!F51</f>
        <v>-</v>
      </c>
      <c r="H50" s="156"/>
    </row>
    <row r="51" spans="1:8" ht="17.25" thickTop="1" thickBot="1" x14ac:dyDescent="0.3">
      <c r="A51" s="208"/>
      <c r="B51" s="61" t="s">
        <v>45</v>
      </c>
      <c r="C51" s="11" t="s">
        <v>20</v>
      </c>
      <c r="D51" s="11" t="str">
        <f>OUTPUT!D52&amp;" , "&amp;OUTPUT!H52</f>
        <v>- , -</v>
      </c>
      <c r="E51" s="130" t="str">
        <f>OUTPUT!E52</f>
        <v>-</v>
      </c>
      <c r="F51" s="130"/>
      <c r="G51" s="157" t="str">
        <f>OUTPUT!F52</f>
        <v>-</v>
      </c>
      <c r="H51" s="157"/>
    </row>
    <row r="52" spans="1:8" ht="17.25" thickTop="1" thickBot="1" x14ac:dyDescent="0.3">
      <c r="A52" s="208"/>
      <c r="B52" s="61" t="s">
        <v>46</v>
      </c>
      <c r="C52" s="11" t="s">
        <v>21</v>
      </c>
      <c r="D52" s="11" t="str">
        <f>OUTPUT!D53&amp;" , "&amp;OUTPUT!H53</f>
        <v>4 , 2</v>
      </c>
      <c r="E52" s="130"/>
      <c r="F52" s="130"/>
      <c r="G52" s="157"/>
      <c r="H52" s="157"/>
    </row>
    <row r="53" spans="1:8" ht="17.25" thickTop="1" thickBot="1" x14ac:dyDescent="0.3">
      <c r="A53" s="208"/>
      <c r="B53" s="62" t="s">
        <v>45</v>
      </c>
      <c r="C53" s="29" t="s">
        <v>22</v>
      </c>
      <c r="D53" s="29" t="str">
        <f>OUTPUT!D54&amp;" , "&amp;OUTPUT!H54</f>
        <v>- , -</v>
      </c>
      <c r="E53" s="131" t="str">
        <f>OUTPUT!E54</f>
        <v>-</v>
      </c>
      <c r="F53" s="131"/>
      <c r="G53" s="158" t="str">
        <f>OUTPUT!F54</f>
        <v>-</v>
      </c>
      <c r="H53" s="158"/>
    </row>
    <row r="54" spans="1:8" ht="15.75" thickTop="1" x14ac:dyDescent="0.25"/>
    <row r="56" spans="1:8" ht="15.75" thickBot="1" x14ac:dyDescent="0.3"/>
    <row r="57" spans="1:8" s="195" customFormat="1" ht="69" customHeight="1" thickTop="1" thickBot="1" x14ac:dyDescent="0.3">
      <c r="A57" s="196" t="s">
        <v>65</v>
      </c>
      <c r="B57" s="212"/>
      <c r="C57" s="212"/>
      <c r="D57" s="212"/>
      <c r="E57" s="212"/>
      <c r="F57" s="212"/>
      <c r="G57" s="212"/>
      <c r="H57" s="212"/>
    </row>
    <row r="58" spans="1:8" ht="15.75" thickTop="1" x14ac:dyDescent="0.25"/>
  </sheetData>
  <mergeCells count="15">
    <mergeCell ref="A1:G1"/>
    <mergeCell ref="A2:G2"/>
    <mergeCell ref="A6:A9"/>
    <mergeCell ref="A10:A13"/>
    <mergeCell ref="A14:A17"/>
    <mergeCell ref="B57:H57"/>
    <mergeCell ref="A46:A49"/>
    <mergeCell ref="A50:A53"/>
    <mergeCell ref="A18:A21"/>
    <mergeCell ref="A22:A25"/>
    <mergeCell ref="A26:A29"/>
    <mergeCell ref="A30:A33"/>
    <mergeCell ref="A38:A41"/>
    <mergeCell ref="A42:A45"/>
    <mergeCell ref="A34:A37"/>
  </mergeCells>
  <dataValidations count="7">
    <dataValidation type="textLength" operator="lessThan" allowBlank="1" showInputMessage="1" showErrorMessage="1" errorTitle="ACHA" error="USITUMIE HAPA" sqref="J40:L43 E49:H51 E53:H53 C1:G2 A1:B4 G5 A5:A53 C5:D53 B5:B9 B10:B11 B14:B53 B12:B13" xr:uid="{0ED0B2D8-ACA2-4A87-A0FE-AD8A6A07A7A3}">
      <formula1>0</formula1>
    </dataValidation>
    <dataValidation type="list" operator="lessThan" showInputMessage="1" showErrorMessage="1" errorTitle="HAPANA" error="Tumia njia nyingine" sqref="D3:D4" xr:uid="{3DB089D9-6A36-4CCB-8464-24B7AFD2584E}">
      <formula1>"01,02,03,04,05,06,07,08,09,10,11,12,13,14,15,16,17,18,19,20,21,22,23,24,25,26,27,28,29,30,31"</formula1>
    </dataValidation>
    <dataValidation type="list" operator="lessThan" allowBlank="1" showInputMessage="1" showErrorMessage="1" errorTitle="ACHA" error="USITUMIE HAPA" sqref="E3:E4" xr:uid="{1CB3C13B-4C89-4538-8413-600EBC449C12}">
      <formula1>"JAN, FEB, MAR, APR, MAY, JUNE, JULY, AUG, SEPT, OCT, NOV, DEC"</formula1>
    </dataValidation>
    <dataValidation type="list" operator="lessThan" allowBlank="1" showInputMessage="1" showErrorMessage="1" errorTitle="HAPANA" error="Tumia njia nyingine" sqref="C3:C4" xr:uid="{B9D5840F-8A64-401B-ACB0-7330201992E7}">
      <formula1>"Mond, Tues, Wed, Thurs, Frid"</formula1>
    </dataValidation>
    <dataValidation type="textLength" operator="lessThan" allowBlank="1" showInputMessage="1" showErrorMessage="1" errorTitle="ACHA" error="USITUMIE HAPA" sqref="E5:F5" xr:uid="{0C0D80EB-1031-4D30-9E92-6818DAA4609A}">
      <formula1>100</formula1>
    </dataValidation>
    <dataValidation type="textLength" operator="lessThan" allowBlank="1" showInputMessage="1" showErrorMessage="1" errorTitle="ACHA" error="USITUMIE HAPA" sqref="H5" xr:uid="{F7D500AA-0386-4720-B47F-27350ED1CD35}">
      <formula1>10</formula1>
    </dataValidation>
    <dataValidation type="list" allowBlank="1" showInputMessage="1" showErrorMessage="1" sqref="F3 F4" xr:uid="{D361BF54-FB8A-445D-8C78-48EB95135FA9}">
      <formula1>"2026,2027,2028"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B874-07DC-4A2C-8ABC-C40C411DD6C3}">
  <sheetPr codeName="Sheet2">
    <tabColor rgb="FFFF0000"/>
  </sheetPr>
  <dimension ref="A1:N61"/>
  <sheetViews>
    <sheetView showGridLines="0" tabSelected="1" zoomScaleNormal="100" zoomScaleSheetLayoutView="100" workbookViewId="0">
      <pane ySplit="6" topLeftCell="A7" activePane="bottomLeft" state="frozen"/>
      <selection pane="bottomLeft" activeCell="A7" sqref="A7:A10"/>
    </sheetView>
  </sheetViews>
  <sheetFormatPr defaultRowHeight="15" x14ac:dyDescent="0.2"/>
  <cols>
    <col min="1" max="1" width="15.7109375" style="1" customWidth="1"/>
    <col min="2" max="2" width="22.28515625" style="1" customWidth="1"/>
    <col min="3" max="3" width="9.140625" style="3"/>
    <col min="4" max="6" width="10.28515625" style="1" customWidth="1"/>
    <col min="7" max="7" width="21.42578125" style="189" customWidth="1"/>
    <col min="8" max="10" width="10.28515625" style="1" customWidth="1"/>
    <col min="11" max="11" width="25.85546875" style="189" customWidth="1"/>
    <col min="12" max="16384" width="9.140625" style="1"/>
  </cols>
  <sheetData>
    <row r="1" spans="1:11" ht="23.25" customHeight="1" x14ac:dyDescent="0.25">
      <c r="A1" s="197" t="s">
        <v>23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</row>
    <row r="2" spans="1:11" ht="23.25" customHeight="1" x14ac:dyDescent="0.25">
      <c r="A2" s="197" t="s">
        <v>57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</row>
    <row r="3" spans="1:11" ht="23.25" customHeight="1" x14ac:dyDescent="0.25">
      <c r="A3" s="197" t="s">
        <v>49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</row>
    <row r="4" spans="1:11" ht="23.25" customHeight="1" x14ac:dyDescent="0.25">
      <c r="A4" s="99"/>
      <c r="B4" s="99"/>
      <c r="C4" s="99"/>
      <c r="D4" s="99"/>
      <c r="E4" s="99"/>
      <c r="F4" s="100"/>
      <c r="G4" s="100" t="s">
        <v>58</v>
      </c>
      <c r="H4" s="103" t="str">
        <f>DATA!C3</f>
        <v>Mond</v>
      </c>
      <c r="I4" s="103" t="str">
        <f>DATA!D3</f>
        <v>09</v>
      </c>
      <c r="J4" s="101" t="str">
        <f>DATA!E3</f>
        <v>FEB</v>
      </c>
      <c r="K4" s="193">
        <f>DATA!F3</f>
        <v>2026</v>
      </c>
    </row>
    <row r="5" spans="1:11" ht="17.25" customHeight="1" thickBot="1" x14ac:dyDescent="0.3">
      <c r="A5" s="87"/>
      <c r="B5" s="87"/>
      <c r="C5" s="102"/>
      <c r="D5" s="102"/>
      <c r="E5" s="102"/>
      <c r="F5" s="90"/>
      <c r="G5" s="90" t="s">
        <v>59</v>
      </c>
      <c r="H5" s="90" t="str">
        <f>DATA!C4</f>
        <v>Thurs</v>
      </c>
      <c r="I5" s="88" t="str">
        <f>DATA!D4</f>
        <v>13</v>
      </c>
      <c r="J5" s="33" t="str">
        <f>DATA!E4</f>
        <v>FEB</v>
      </c>
      <c r="K5" s="193">
        <f>DATA!F4</f>
        <v>2026</v>
      </c>
    </row>
    <row r="6" spans="1:11" s="2" customFormat="1" ht="41.25" customHeight="1" thickTop="1" thickBot="1" x14ac:dyDescent="0.3">
      <c r="A6" s="53" t="s">
        <v>1</v>
      </c>
      <c r="B6" s="43" t="s">
        <v>0</v>
      </c>
      <c r="C6" s="32" t="s">
        <v>2</v>
      </c>
      <c r="D6" s="31" t="s">
        <v>4</v>
      </c>
      <c r="E6" s="31" t="s">
        <v>5</v>
      </c>
      <c r="F6" s="31" t="s">
        <v>3</v>
      </c>
      <c r="G6" s="161" t="s">
        <v>48</v>
      </c>
      <c r="H6" s="31" t="s">
        <v>6</v>
      </c>
      <c r="I6" s="31" t="s">
        <v>25</v>
      </c>
      <c r="J6" s="31" t="s">
        <v>7</v>
      </c>
      <c r="K6" s="161" t="s">
        <v>48</v>
      </c>
    </row>
    <row r="7" spans="1:11" ht="16.5" thickTop="1" thickBot="1" x14ac:dyDescent="0.25">
      <c r="A7" s="200" t="s">
        <v>8</v>
      </c>
      <c r="B7" s="44" t="str">
        <f>DATA!B6</f>
        <v>Stela M</v>
      </c>
      <c r="C7" s="30" t="s">
        <v>19</v>
      </c>
      <c r="D7" s="30">
        <v>6</v>
      </c>
      <c r="E7" s="12">
        <f>D7-DATA!E6</f>
        <v>6</v>
      </c>
      <c r="F7" s="12">
        <f>E7/D7*100</f>
        <v>100</v>
      </c>
      <c r="G7" s="30" t="str">
        <f>IF(ISBLANK(DATA!F6),"",DATA!F6)</f>
        <v/>
      </c>
      <c r="H7" s="30">
        <v>4</v>
      </c>
      <c r="I7" s="30">
        <f>DATA!G6</f>
        <v>0</v>
      </c>
      <c r="J7" s="63">
        <f>I7/H7*100</f>
        <v>0</v>
      </c>
      <c r="K7" s="192" t="str">
        <f>IF(ISBLANK(DATA!H6),"",DATA!H6)</f>
        <v/>
      </c>
    </row>
    <row r="8" spans="1:11" ht="16.5" thickTop="1" thickBot="1" x14ac:dyDescent="0.25">
      <c r="A8" s="200"/>
      <c r="B8" s="45" t="str">
        <f>DATA!B7</f>
        <v>Stela M</v>
      </c>
      <c r="C8" s="12" t="s">
        <v>20</v>
      </c>
      <c r="D8" s="12">
        <v>6</v>
      </c>
      <c r="E8" s="12">
        <f>D8-DATA!E7</f>
        <v>6</v>
      </c>
      <c r="F8" s="12">
        <f t="shared" ref="F8:F53" si="0">E8/D8*100</f>
        <v>100</v>
      </c>
      <c r="G8" s="12" t="str">
        <f>IF(ISBLANK(DATA!F7),"",DATA!F7)</f>
        <v/>
      </c>
      <c r="H8" s="12">
        <v>4</v>
      </c>
      <c r="I8" s="12">
        <f>DATA!G7</f>
        <v>0</v>
      </c>
      <c r="J8" s="64">
        <f t="shared" ref="J8:J53" si="1">I8/H8*100</f>
        <v>0</v>
      </c>
      <c r="K8" s="162" t="str">
        <f>IF(ISBLANK(DATA!H7),"",DATA!H7)</f>
        <v/>
      </c>
    </row>
    <row r="9" spans="1:11" ht="16.5" thickTop="1" thickBot="1" x14ac:dyDescent="0.25">
      <c r="A9" s="200"/>
      <c r="B9" s="45" t="str">
        <f>DATA!B8</f>
        <v>Muna A</v>
      </c>
      <c r="C9" s="12" t="s">
        <v>21</v>
      </c>
      <c r="D9" s="12">
        <v>8</v>
      </c>
      <c r="E9" s="12">
        <f>D9-DATA!E8</f>
        <v>8</v>
      </c>
      <c r="F9" s="12">
        <f t="shared" si="0"/>
        <v>100</v>
      </c>
      <c r="G9" s="12" t="str">
        <f>IF(ISBLANK(DATA!F8),"",DATA!F8)</f>
        <v/>
      </c>
      <c r="H9" s="12">
        <v>4</v>
      </c>
      <c r="I9" s="12">
        <f>DATA!G8</f>
        <v>0</v>
      </c>
      <c r="J9" s="64">
        <f t="shared" si="1"/>
        <v>0</v>
      </c>
      <c r="K9" s="162" t="str">
        <f>IF(ISBLANK(DATA!H8),"",DATA!H8)</f>
        <v/>
      </c>
    </row>
    <row r="10" spans="1:11" ht="16.5" thickTop="1" thickBot="1" x14ac:dyDescent="0.25">
      <c r="A10" s="200"/>
      <c r="B10" s="46" t="str">
        <f>DATA!B9</f>
        <v>Muna A</v>
      </c>
      <c r="C10" s="14" t="s">
        <v>22</v>
      </c>
      <c r="D10" s="14">
        <v>8</v>
      </c>
      <c r="E10" s="14">
        <f>D10-DATA!E9</f>
        <v>8</v>
      </c>
      <c r="F10" s="14">
        <f t="shared" si="0"/>
        <v>100</v>
      </c>
      <c r="G10" s="14" t="str">
        <f>IF(ISBLANK(DATA!F9),"",DATA!F9)</f>
        <v/>
      </c>
      <c r="H10" s="14">
        <v>4</v>
      </c>
      <c r="I10" s="14">
        <f>DATA!G9</f>
        <v>0</v>
      </c>
      <c r="J10" s="65">
        <f t="shared" si="1"/>
        <v>0</v>
      </c>
      <c r="K10" s="163" t="str">
        <f>IF(ISBLANK(DATA!H9),"",DATA!H9)</f>
        <v/>
      </c>
    </row>
    <row r="11" spans="1:11" ht="16.5" thickTop="1" thickBot="1" x14ac:dyDescent="0.25">
      <c r="A11" s="201" t="s">
        <v>9</v>
      </c>
      <c r="B11" s="47" t="str">
        <f>DATA!B10</f>
        <v>Shedi O</v>
      </c>
      <c r="C11" s="13" t="s">
        <v>19</v>
      </c>
      <c r="D11" s="13">
        <v>6</v>
      </c>
      <c r="E11" s="13">
        <f>D11-DATA!E10</f>
        <v>6</v>
      </c>
      <c r="F11" s="13">
        <f t="shared" si="0"/>
        <v>100</v>
      </c>
      <c r="G11" s="13" t="str">
        <f>IF(ISBLANK(DATA!F10),"",DATA!F10)</f>
        <v/>
      </c>
      <c r="H11" s="13">
        <v>4</v>
      </c>
      <c r="I11" s="13">
        <f>DATA!G10</f>
        <v>0</v>
      </c>
      <c r="J11" s="66">
        <f t="shared" si="1"/>
        <v>0</v>
      </c>
      <c r="K11" s="164" t="str">
        <f>IF(ISBLANK(DATA!H10),"",DATA!H10)</f>
        <v/>
      </c>
    </row>
    <row r="12" spans="1:11" ht="16.5" thickTop="1" thickBot="1" x14ac:dyDescent="0.25">
      <c r="A12" s="201"/>
      <c r="B12" s="48" t="str">
        <f>DATA!B11</f>
        <v>Shedi O</v>
      </c>
      <c r="C12" s="4" t="s">
        <v>20</v>
      </c>
      <c r="D12" s="4">
        <v>3</v>
      </c>
      <c r="E12" s="4">
        <f>D12-DATA!E11</f>
        <v>3</v>
      </c>
      <c r="F12" s="4">
        <f t="shared" si="0"/>
        <v>100</v>
      </c>
      <c r="G12" s="4" t="str">
        <f>IF(ISBLANK(DATA!F11),"",DATA!F11)</f>
        <v/>
      </c>
      <c r="H12" s="4">
        <v>2</v>
      </c>
      <c r="I12" s="4">
        <f>DATA!G11</f>
        <v>0</v>
      </c>
      <c r="J12" s="67">
        <f t="shared" si="1"/>
        <v>0</v>
      </c>
      <c r="K12" s="165" t="str">
        <f>IF(ISBLANK(DATA!H11),"",DATA!H11)</f>
        <v/>
      </c>
    </row>
    <row r="13" spans="1:11" ht="16.5" thickTop="1" thickBot="1" x14ac:dyDescent="0.25">
      <c r="A13" s="201"/>
      <c r="B13" s="48" t="str">
        <f>DATA!B12</f>
        <v>Shedi O</v>
      </c>
      <c r="C13" s="4" t="s">
        <v>21</v>
      </c>
      <c r="D13" s="4">
        <v>4</v>
      </c>
      <c r="E13" s="4">
        <f>D13-DATA!E12</f>
        <v>4</v>
      </c>
      <c r="F13" s="4">
        <f t="shared" si="0"/>
        <v>100</v>
      </c>
      <c r="G13" s="4" t="str">
        <f>IF(ISBLANK(DATA!F12),"",DATA!F12)</f>
        <v/>
      </c>
      <c r="H13" s="4">
        <v>2</v>
      </c>
      <c r="I13" s="4">
        <f>DATA!G12</f>
        <v>0</v>
      </c>
      <c r="J13" s="67">
        <f t="shared" si="1"/>
        <v>0</v>
      </c>
      <c r="K13" s="165" t="str">
        <f>IF(ISBLANK(DATA!H12),"",DATA!H12)</f>
        <v/>
      </c>
    </row>
    <row r="14" spans="1:11" ht="16.5" thickTop="1" thickBot="1" x14ac:dyDescent="0.25">
      <c r="A14" s="201"/>
      <c r="B14" s="49" t="str">
        <f>DATA!B13</f>
        <v>Shedi O</v>
      </c>
      <c r="C14" s="16" t="s">
        <v>22</v>
      </c>
      <c r="D14" s="16">
        <v>4</v>
      </c>
      <c r="E14" s="16">
        <f>D14-DATA!E13</f>
        <v>4</v>
      </c>
      <c r="F14" s="16">
        <f t="shared" si="0"/>
        <v>100</v>
      </c>
      <c r="G14" s="16" t="str">
        <f>IF(ISBLANK(DATA!F13),"",DATA!F13)</f>
        <v/>
      </c>
      <c r="H14" s="16">
        <v>2</v>
      </c>
      <c r="I14" s="16">
        <f>DATA!G13</f>
        <v>0</v>
      </c>
      <c r="J14" s="68">
        <f t="shared" si="1"/>
        <v>0</v>
      </c>
      <c r="K14" s="166" t="str">
        <f>IF(ISBLANK(DATA!H13),"",DATA!H13)</f>
        <v/>
      </c>
    </row>
    <row r="15" spans="1:11" ht="16.5" thickTop="1" thickBot="1" x14ac:dyDescent="0.25">
      <c r="A15" s="202" t="s">
        <v>10</v>
      </c>
      <c r="B15" s="50" t="str">
        <f>DATA!B14</f>
        <v>Baraka W</v>
      </c>
      <c r="C15" s="15" t="s">
        <v>19</v>
      </c>
      <c r="D15" s="15">
        <v>6</v>
      </c>
      <c r="E15" s="15">
        <f>D15-DATA!E14</f>
        <v>6</v>
      </c>
      <c r="F15" s="15">
        <f t="shared" si="0"/>
        <v>100</v>
      </c>
      <c r="G15" s="15" t="str">
        <f>IF(ISBLANK(DATA!F14),"",DATA!F14)</f>
        <v/>
      </c>
      <c r="H15" s="15">
        <v>4</v>
      </c>
      <c r="I15" s="15">
        <f>DATA!G14</f>
        <v>0</v>
      </c>
      <c r="J15" s="69">
        <f t="shared" si="1"/>
        <v>0</v>
      </c>
      <c r="K15" s="167" t="str">
        <f>IF(ISBLANK(DATA!H14),"",DATA!H14)</f>
        <v/>
      </c>
    </row>
    <row r="16" spans="1:11" ht="16.5" thickTop="1" thickBot="1" x14ac:dyDescent="0.25">
      <c r="A16" s="202"/>
      <c r="B16" s="51" t="str">
        <f>DATA!B15</f>
        <v>Baraka W</v>
      </c>
      <c r="C16" s="5" t="s">
        <v>20</v>
      </c>
      <c r="D16" s="5">
        <v>3</v>
      </c>
      <c r="E16" s="5">
        <f>D16-DATA!E15</f>
        <v>3</v>
      </c>
      <c r="F16" s="5">
        <f t="shared" si="0"/>
        <v>100</v>
      </c>
      <c r="G16" s="5" t="str">
        <f>IF(ISBLANK(DATA!F15),"",DATA!F15)</f>
        <v/>
      </c>
      <c r="H16" s="5">
        <v>2</v>
      </c>
      <c r="I16" s="5">
        <f>DATA!G15</f>
        <v>0</v>
      </c>
      <c r="J16" s="70">
        <f t="shared" si="1"/>
        <v>0</v>
      </c>
      <c r="K16" s="168" t="str">
        <f>IF(ISBLANK(DATA!H15),"",DATA!H15)</f>
        <v/>
      </c>
    </row>
    <row r="17" spans="1:11" ht="16.5" thickTop="1" thickBot="1" x14ac:dyDescent="0.25">
      <c r="A17" s="202"/>
      <c r="B17" s="51" t="str">
        <f>DATA!B16</f>
        <v>Annastazia F</v>
      </c>
      <c r="C17" s="5" t="s">
        <v>21</v>
      </c>
      <c r="D17" s="5">
        <v>4</v>
      </c>
      <c r="E17" s="5">
        <f>D17-DATA!E16</f>
        <v>4</v>
      </c>
      <c r="F17" s="5">
        <f t="shared" si="0"/>
        <v>100</v>
      </c>
      <c r="G17" s="5" t="str">
        <f>IF(ISBLANK(DATA!F16),"",DATA!F16)</f>
        <v/>
      </c>
      <c r="H17" s="5">
        <v>2</v>
      </c>
      <c r="I17" s="5">
        <f>DATA!G16</f>
        <v>0</v>
      </c>
      <c r="J17" s="70">
        <f t="shared" si="1"/>
        <v>0</v>
      </c>
      <c r="K17" s="168" t="str">
        <f>IF(ISBLANK(DATA!H16),"",DATA!H16)</f>
        <v/>
      </c>
    </row>
    <row r="18" spans="1:11" ht="16.5" thickTop="1" thickBot="1" x14ac:dyDescent="0.25">
      <c r="A18" s="202"/>
      <c r="B18" s="52" t="str">
        <f>DATA!B17</f>
        <v>Annastazia F</v>
      </c>
      <c r="C18" s="17" t="s">
        <v>22</v>
      </c>
      <c r="D18" s="17">
        <v>4</v>
      </c>
      <c r="E18" s="17">
        <f>D18-DATA!E17</f>
        <v>4</v>
      </c>
      <c r="F18" s="17">
        <f t="shared" si="0"/>
        <v>100</v>
      </c>
      <c r="G18" s="17" t="str">
        <f>IF(ISBLANK(DATA!F17),"",DATA!F17)</f>
        <v/>
      </c>
      <c r="H18" s="17">
        <v>2</v>
      </c>
      <c r="I18" s="17">
        <f>DATA!G17</f>
        <v>0</v>
      </c>
      <c r="J18" s="71">
        <f t="shared" si="1"/>
        <v>0</v>
      </c>
      <c r="K18" s="169" t="str">
        <f>IF(ISBLANK(DATA!H17),"",DATA!H17)</f>
        <v/>
      </c>
    </row>
    <row r="19" spans="1:11" ht="16.5" thickTop="1" thickBot="1" x14ac:dyDescent="0.25">
      <c r="A19" s="201" t="s">
        <v>11</v>
      </c>
      <c r="B19" s="47" t="str">
        <f>DATA!B18</f>
        <v>Andrew M</v>
      </c>
      <c r="C19" s="13" t="s">
        <v>19</v>
      </c>
      <c r="D19" s="13">
        <v>12</v>
      </c>
      <c r="E19" s="13">
        <f>D19-DATA!E18</f>
        <v>12</v>
      </c>
      <c r="F19" s="13">
        <f t="shared" si="0"/>
        <v>100</v>
      </c>
      <c r="G19" s="13" t="str">
        <f>IF(ISBLANK(DATA!F18),"",DATA!F18)</f>
        <v/>
      </c>
      <c r="H19" s="13">
        <v>6</v>
      </c>
      <c r="I19" s="13">
        <f>DATA!G18</f>
        <v>0</v>
      </c>
      <c r="J19" s="66">
        <f t="shared" si="1"/>
        <v>0</v>
      </c>
      <c r="K19" s="164" t="str">
        <f>IF(ISBLANK(DATA!H18),"",DATA!H18)</f>
        <v/>
      </c>
    </row>
    <row r="20" spans="1:11" ht="16.5" thickTop="1" thickBot="1" x14ac:dyDescent="0.25">
      <c r="A20" s="201"/>
      <c r="B20" s="48" t="str">
        <f>DATA!B19</f>
        <v>Andrew M</v>
      </c>
      <c r="C20" s="4" t="s">
        <v>20</v>
      </c>
      <c r="D20" s="4">
        <v>12</v>
      </c>
      <c r="E20" s="4">
        <f>D20-DATA!E19</f>
        <v>12</v>
      </c>
      <c r="F20" s="4">
        <f t="shared" si="0"/>
        <v>100</v>
      </c>
      <c r="G20" s="4" t="str">
        <f>IF(ISBLANK(DATA!F19),"",DATA!F19)</f>
        <v/>
      </c>
      <c r="H20" s="4">
        <v>6</v>
      </c>
      <c r="I20" s="4">
        <f>DATA!G19</f>
        <v>0</v>
      </c>
      <c r="J20" s="67">
        <f t="shared" si="1"/>
        <v>0</v>
      </c>
      <c r="K20" s="165" t="str">
        <f>IF(ISBLANK(DATA!H19),"",DATA!H19)</f>
        <v/>
      </c>
    </row>
    <row r="21" spans="1:11" ht="16.5" thickTop="1" thickBot="1" x14ac:dyDescent="0.25">
      <c r="A21" s="201"/>
      <c r="B21" s="48" t="str">
        <f>DATA!B20</f>
        <v>Aneth D</v>
      </c>
      <c r="C21" s="4" t="s">
        <v>21</v>
      </c>
      <c r="D21" s="4">
        <v>12</v>
      </c>
      <c r="E21" s="4">
        <f>D21-DATA!E20</f>
        <v>12</v>
      </c>
      <c r="F21" s="4">
        <f t="shared" si="0"/>
        <v>100</v>
      </c>
      <c r="G21" s="4" t="str">
        <f>IF(ISBLANK(DATA!F20),"",DATA!F20)</f>
        <v/>
      </c>
      <c r="H21" s="4">
        <v>6</v>
      </c>
      <c r="I21" s="4">
        <f>DATA!G20</f>
        <v>0</v>
      </c>
      <c r="J21" s="67">
        <f t="shared" si="1"/>
        <v>0</v>
      </c>
      <c r="K21" s="165" t="str">
        <f>IF(ISBLANK(DATA!H20),"",DATA!H20)</f>
        <v/>
      </c>
    </row>
    <row r="22" spans="1:11" ht="16.5" thickTop="1" thickBot="1" x14ac:dyDescent="0.25">
      <c r="A22" s="201"/>
      <c r="B22" s="49" t="str">
        <f>DATA!B21</f>
        <v>Aneth D</v>
      </c>
      <c r="C22" s="16" t="s">
        <v>22</v>
      </c>
      <c r="D22" s="16">
        <v>12</v>
      </c>
      <c r="E22" s="16">
        <f>D22-DATA!E21</f>
        <v>12</v>
      </c>
      <c r="F22" s="16">
        <f t="shared" si="0"/>
        <v>100</v>
      </c>
      <c r="G22" s="16" t="str">
        <f>IF(ISBLANK(DATA!F21),"",DATA!F21)</f>
        <v/>
      </c>
      <c r="H22" s="16">
        <v>6</v>
      </c>
      <c r="I22" s="16">
        <f>DATA!G21</f>
        <v>0</v>
      </c>
      <c r="J22" s="68">
        <f t="shared" si="1"/>
        <v>0</v>
      </c>
      <c r="K22" s="166" t="str">
        <f>IF(ISBLANK(DATA!H21),"",DATA!H21)</f>
        <v/>
      </c>
    </row>
    <row r="23" spans="1:11" ht="16.5" thickTop="1" thickBot="1" x14ac:dyDescent="0.25">
      <c r="A23" s="198" t="s">
        <v>12</v>
      </c>
      <c r="B23" s="34" t="str">
        <f>DATA!B22</f>
        <v>Sarah M</v>
      </c>
      <c r="C23" s="18" t="s">
        <v>19</v>
      </c>
      <c r="D23" s="18">
        <v>12</v>
      </c>
      <c r="E23" s="18">
        <f>D23-DATA!E22</f>
        <v>12</v>
      </c>
      <c r="F23" s="18">
        <f t="shared" si="0"/>
        <v>100</v>
      </c>
      <c r="G23" s="18" t="str">
        <f>IF(ISBLANK(DATA!F22),"",DATA!F22)</f>
        <v/>
      </c>
      <c r="H23" s="18">
        <v>6</v>
      </c>
      <c r="I23" s="18">
        <f>DATA!G22</f>
        <v>0</v>
      </c>
      <c r="J23" s="72">
        <f t="shared" si="1"/>
        <v>0</v>
      </c>
      <c r="K23" s="170" t="str">
        <f>IF(ISBLANK(DATA!H22),"",DATA!H22)</f>
        <v/>
      </c>
    </row>
    <row r="24" spans="1:11" ht="16.5" thickTop="1" thickBot="1" x14ac:dyDescent="0.25">
      <c r="A24" s="198"/>
      <c r="B24" s="35" t="str">
        <f>DATA!B23</f>
        <v>Singo MJ</v>
      </c>
      <c r="C24" s="6" t="s">
        <v>20</v>
      </c>
      <c r="D24" s="6">
        <v>12</v>
      </c>
      <c r="E24" s="6">
        <f>D24-DATA!E23</f>
        <v>12</v>
      </c>
      <c r="F24" s="6">
        <f t="shared" si="0"/>
        <v>100</v>
      </c>
      <c r="G24" s="6" t="str">
        <f>IF(ISBLANK(DATA!F23),"",DATA!F23)</f>
        <v/>
      </c>
      <c r="H24" s="6">
        <v>6</v>
      </c>
      <c r="I24" s="6">
        <f>DATA!G23</f>
        <v>0</v>
      </c>
      <c r="J24" s="73">
        <f t="shared" si="1"/>
        <v>0</v>
      </c>
      <c r="K24" s="171" t="str">
        <f>IF(ISBLANK(DATA!H23),"",DATA!H23)</f>
        <v/>
      </c>
    </row>
    <row r="25" spans="1:11" ht="16.5" thickTop="1" thickBot="1" x14ac:dyDescent="0.25">
      <c r="A25" s="198"/>
      <c r="B25" s="35" t="str">
        <f>DATA!B24</f>
        <v>Singo MJ</v>
      </c>
      <c r="C25" s="6" t="s">
        <v>21</v>
      </c>
      <c r="D25" s="6">
        <v>12</v>
      </c>
      <c r="E25" s="6">
        <f>D25-DATA!E24</f>
        <v>12</v>
      </c>
      <c r="F25" s="6">
        <f t="shared" si="0"/>
        <v>100</v>
      </c>
      <c r="G25" s="6" t="str">
        <f>IF(ISBLANK(DATA!F24),"",DATA!F24)</f>
        <v/>
      </c>
      <c r="H25" s="6">
        <v>6</v>
      </c>
      <c r="I25" s="6">
        <f>DATA!G24</f>
        <v>0</v>
      </c>
      <c r="J25" s="73">
        <f t="shared" si="1"/>
        <v>0</v>
      </c>
      <c r="K25" s="171" t="str">
        <f>IF(ISBLANK(DATA!H24),"",DATA!H24)</f>
        <v/>
      </c>
    </row>
    <row r="26" spans="1:11" ht="16.5" thickTop="1" thickBot="1" x14ac:dyDescent="0.25">
      <c r="A26" s="198"/>
      <c r="B26" s="36" t="str">
        <f>DATA!B25</f>
        <v>Lawi W</v>
      </c>
      <c r="C26" s="20" t="s">
        <v>22</v>
      </c>
      <c r="D26" s="20">
        <v>12</v>
      </c>
      <c r="E26" s="20">
        <f>D26-DATA!E25</f>
        <v>12</v>
      </c>
      <c r="F26" s="20">
        <f t="shared" si="0"/>
        <v>100</v>
      </c>
      <c r="G26" s="20" t="str">
        <f>IF(ISBLANK(DATA!F25),"",DATA!F25)</f>
        <v/>
      </c>
      <c r="H26" s="20">
        <v>6</v>
      </c>
      <c r="I26" s="20">
        <f>DATA!G25</f>
        <v>0</v>
      </c>
      <c r="J26" s="74">
        <f t="shared" si="1"/>
        <v>0</v>
      </c>
      <c r="K26" s="172" t="str">
        <f>IF(ISBLANK(DATA!H25),"",DATA!H25)</f>
        <v/>
      </c>
    </row>
    <row r="27" spans="1:11" ht="16.5" thickTop="1" thickBot="1" x14ac:dyDescent="0.25">
      <c r="A27" s="209" t="s">
        <v>13</v>
      </c>
      <c r="B27" s="37" t="str">
        <f>DATA!B26</f>
        <v>Gwamaka M</v>
      </c>
      <c r="C27" s="19" t="s">
        <v>19</v>
      </c>
      <c r="D27" s="19">
        <v>6</v>
      </c>
      <c r="E27" s="19">
        <f>D27-DATA!E26</f>
        <v>6</v>
      </c>
      <c r="F27" s="19">
        <f t="shared" si="0"/>
        <v>100</v>
      </c>
      <c r="G27" s="19" t="str">
        <f>IF(ISBLANK(DATA!F26),"",DATA!F26)</f>
        <v/>
      </c>
      <c r="H27" s="19">
        <v>4</v>
      </c>
      <c r="I27" s="19">
        <f>DATA!G26</f>
        <v>0</v>
      </c>
      <c r="J27" s="75">
        <f t="shared" si="1"/>
        <v>0</v>
      </c>
      <c r="K27" s="173" t="str">
        <f>IF(ISBLANK(DATA!H26),"",DATA!H26)</f>
        <v/>
      </c>
    </row>
    <row r="28" spans="1:11" ht="16.5" thickTop="1" thickBot="1" x14ac:dyDescent="0.25">
      <c r="A28" s="209"/>
      <c r="B28" s="38" t="str">
        <f>DATA!B27</f>
        <v>Gwamaka M</v>
      </c>
      <c r="C28" s="7" t="s">
        <v>20</v>
      </c>
      <c r="D28" s="7">
        <v>3</v>
      </c>
      <c r="E28" s="7">
        <f>D28-DATA!E27</f>
        <v>3</v>
      </c>
      <c r="F28" s="7">
        <f t="shared" si="0"/>
        <v>100</v>
      </c>
      <c r="G28" s="7" t="str">
        <f>IF(ISBLANK(DATA!F27),"",DATA!F27)</f>
        <v/>
      </c>
      <c r="H28" s="7">
        <v>2</v>
      </c>
      <c r="I28" s="7">
        <f>DATA!G27</f>
        <v>0</v>
      </c>
      <c r="J28" s="76">
        <f t="shared" si="1"/>
        <v>0</v>
      </c>
      <c r="K28" s="174" t="str">
        <f>IF(ISBLANK(DATA!H27),"",DATA!H27)</f>
        <v/>
      </c>
    </row>
    <row r="29" spans="1:11" ht="16.5" thickTop="1" thickBot="1" x14ac:dyDescent="0.25">
      <c r="A29" s="209"/>
      <c r="B29" s="38" t="str">
        <f>DATA!B28</f>
        <v>Anna ND</v>
      </c>
      <c r="C29" s="7" t="s">
        <v>21</v>
      </c>
      <c r="D29" s="7">
        <v>6</v>
      </c>
      <c r="E29" s="7">
        <f>D29-DATA!E28</f>
        <v>6</v>
      </c>
      <c r="F29" s="7">
        <f t="shared" si="0"/>
        <v>100</v>
      </c>
      <c r="G29" s="7" t="str">
        <f>IF(ISBLANK(DATA!F28),"",DATA!F28)</f>
        <v/>
      </c>
      <c r="H29" s="7">
        <v>4</v>
      </c>
      <c r="I29" s="7">
        <f>DATA!G28</f>
        <v>0</v>
      </c>
      <c r="J29" s="76">
        <f t="shared" si="1"/>
        <v>0</v>
      </c>
      <c r="K29" s="174" t="str">
        <f>IF(ISBLANK(DATA!H28),"",DATA!H28)</f>
        <v/>
      </c>
    </row>
    <row r="30" spans="1:11" ht="16.5" thickTop="1" thickBot="1" x14ac:dyDescent="0.25">
      <c r="A30" s="209"/>
      <c r="B30" s="39" t="str">
        <f>DATA!B29</f>
        <v>Anna ND</v>
      </c>
      <c r="C30" s="22" t="s">
        <v>22</v>
      </c>
      <c r="D30" s="22">
        <v>6</v>
      </c>
      <c r="E30" s="22">
        <f>D30-DATA!E29</f>
        <v>6</v>
      </c>
      <c r="F30" s="22">
        <f t="shared" si="0"/>
        <v>100</v>
      </c>
      <c r="G30" s="22" t="str">
        <f>IF(ISBLANK(DATA!F29),"",DATA!F29)</f>
        <v/>
      </c>
      <c r="H30" s="22">
        <v>4</v>
      </c>
      <c r="I30" s="22">
        <f>DATA!G29</f>
        <v>0</v>
      </c>
      <c r="J30" s="77">
        <f t="shared" si="1"/>
        <v>0</v>
      </c>
      <c r="K30" s="175" t="str">
        <f>IF(ISBLANK(DATA!H29),"",DATA!H29)</f>
        <v/>
      </c>
    </row>
    <row r="31" spans="1:11" ht="16.5" thickTop="1" thickBot="1" x14ac:dyDescent="0.25">
      <c r="A31" s="210" t="s">
        <v>14</v>
      </c>
      <c r="B31" s="40" t="str">
        <f>DATA!B30</f>
        <v>Oliver K</v>
      </c>
      <c r="C31" s="21" t="s">
        <v>19</v>
      </c>
      <c r="D31" s="21">
        <v>6</v>
      </c>
      <c r="E31" s="8">
        <f>D31-DATA!E30</f>
        <v>6</v>
      </c>
      <c r="F31" s="21">
        <f t="shared" si="0"/>
        <v>100</v>
      </c>
      <c r="G31" s="21" t="str">
        <f>IF(ISBLANK(DATA!F30),"",DATA!F30)</f>
        <v/>
      </c>
      <c r="H31" s="21">
        <v>4</v>
      </c>
      <c r="I31" s="21">
        <f>DATA!G30</f>
        <v>0</v>
      </c>
      <c r="J31" s="78">
        <f t="shared" si="1"/>
        <v>0</v>
      </c>
      <c r="K31" s="176" t="str">
        <f>IF(ISBLANK(DATA!H30),"",DATA!H30)</f>
        <v/>
      </c>
    </row>
    <row r="32" spans="1:11" ht="16.5" thickTop="1" thickBot="1" x14ac:dyDescent="0.25">
      <c r="A32" s="210"/>
      <c r="B32" s="41" t="str">
        <f>DATA!B31</f>
        <v>Johnson P</v>
      </c>
      <c r="C32" s="8" t="s">
        <v>20</v>
      </c>
      <c r="D32" s="8">
        <v>6</v>
      </c>
      <c r="E32" s="8">
        <f>D32-DATA!E31</f>
        <v>6</v>
      </c>
      <c r="F32" s="8">
        <f t="shared" si="0"/>
        <v>100</v>
      </c>
      <c r="G32" s="8" t="str">
        <f>IF(ISBLANK(DATA!F31),"",DATA!F31)</f>
        <v/>
      </c>
      <c r="H32" s="8">
        <v>4</v>
      </c>
      <c r="I32" s="8">
        <f>DATA!G31</f>
        <v>0</v>
      </c>
      <c r="J32" s="79">
        <f t="shared" si="1"/>
        <v>0</v>
      </c>
      <c r="K32" s="177" t="str">
        <f>IF(ISBLANK(DATA!H31),"",DATA!H31)</f>
        <v/>
      </c>
    </row>
    <row r="33" spans="1:11" ht="16.5" thickTop="1" thickBot="1" x14ac:dyDescent="0.25">
      <c r="A33" s="210"/>
      <c r="B33" s="41" t="str">
        <f>DATA!B32</f>
        <v>Bunuasi M</v>
      </c>
      <c r="C33" s="8" t="s">
        <v>21</v>
      </c>
      <c r="D33" s="8">
        <v>6</v>
      </c>
      <c r="E33" s="8">
        <f>D33-DATA!E32</f>
        <v>6</v>
      </c>
      <c r="F33" s="8">
        <f t="shared" si="0"/>
        <v>100</v>
      </c>
      <c r="G33" s="8" t="str">
        <f>IF(ISBLANK(DATA!F32),"",DATA!F32)</f>
        <v/>
      </c>
      <c r="H33" s="8">
        <v>4</v>
      </c>
      <c r="I33" s="8">
        <f>DATA!G32</f>
        <v>0</v>
      </c>
      <c r="J33" s="79">
        <f t="shared" si="1"/>
        <v>0</v>
      </c>
      <c r="K33" s="177" t="str">
        <f>IF(ISBLANK(DATA!H32),"",DATA!H32)</f>
        <v/>
      </c>
    </row>
    <row r="34" spans="1:11" ht="16.5" thickTop="1" thickBot="1" x14ac:dyDescent="0.25">
      <c r="A34" s="210"/>
      <c r="B34" s="95" t="str">
        <f>DATA!B33</f>
        <v>Bunuasi M</v>
      </c>
      <c r="C34" s="23" t="s">
        <v>22</v>
      </c>
      <c r="D34" s="23">
        <v>6</v>
      </c>
      <c r="E34" s="23">
        <f>D34-DATA!E33</f>
        <v>6</v>
      </c>
      <c r="F34" s="23">
        <f t="shared" si="0"/>
        <v>100</v>
      </c>
      <c r="G34" s="23" t="str">
        <f>IF(ISBLANK(DATA!F33),"",DATA!F33)</f>
        <v/>
      </c>
      <c r="H34" s="23">
        <v>4</v>
      </c>
      <c r="I34" s="23">
        <f>DATA!G33</f>
        <v>0</v>
      </c>
      <c r="J34" s="80">
        <f t="shared" si="1"/>
        <v>0</v>
      </c>
      <c r="K34" s="178" t="str">
        <f>IF(ISBLANK(DATA!H33),"",DATA!H33)</f>
        <v/>
      </c>
    </row>
    <row r="35" spans="1:11" ht="15.75" thickTop="1" x14ac:dyDescent="0.2">
      <c r="A35" s="204" t="s">
        <v>53</v>
      </c>
      <c r="B35" s="37" t="str">
        <f>DATA!B34</f>
        <v>Goodluck M</v>
      </c>
      <c r="C35" s="19" t="s">
        <v>19</v>
      </c>
      <c r="D35" s="19">
        <v>6</v>
      </c>
      <c r="E35" s="19">
        <f>D35-DATA!E34</f>
        <v>6</v>
      </c>
      <c r="F35" s="19">
        <f t="shared" ref="F35:F38" si="2">E35/D35*100</f>
        <v>100</v>
      </c>
      <c r="G35" s="19" t="str">
        <f>IF(ISBLANK(DATA!F34),"",DATA!F34)</f>
        <v/>
      </c>
      <c r="H35" s="19">
        <v>4</v>
      </c>
      <c r="I35" s="19">
        <f>DATA!G34</f>
        <v>0</v>
      </c>
      <c r="J35" s="75">
        <f t="shared" ref="J35:J38" si="3">I35/H35*100</f>
        <v>0</v>
      </c>
      <c r="K35" s="179" t="str">
        <f>IF(ISBLANK(DATA!H34),"",DATA!H34)</f>
        <v/>
      </c>
    </row>
    <row r="36" spans="1:11" ht="15.75" customHeight="1" x14ac:dyDescent="0.2">
      <c r="A36" s="205"/>
      <c r="B36" s="38" t="str">
        <f>DATA!B35</f>
        <v>Henry H</v>
      </c>
      <c r="C36" s="7" t="s">
        <v>20</v>
      </c>
      <c r="D36" s="7">
        <v>6</v>
      </c>
      <c r="E36" s="7">
        <f>D36-DATA!E35</f>
        <v>6</v>
      </c>
      <c r="F36" s="7">
        <f t="shared" si="2"/>
        <v>100</v>
      </c>
      <c r="G36" s="7" t="str">
        <f>IF(ISBLANK(DATA!F35),"",DATA!F35)</f>
        <v/>
      </c>
      <c r="H36" s="7">
        <v>4</v>
      </c>
      <c r="I36" s="7">
        <f>DATA!G35</f>
        <v>0</v>
      </c>
      <c r="J36" s="76">
        <f t="shared" si="3"/>
        <v>0</v>
      </c>
      <c r="K36" s="174" t="str">
        <f>IF(ISBLANK(DATA!H35),"",DATA!H35)</f>
        <v/>
      </c>
    </row>
    <row r="37" spans="1:11" ht="15.75" customHeight="1" x14ac:dyDescent="0.2">
      <c r="A37" s="205"/>
      <c r="B37" s="38" t="str">
        <f>DATA!B36</f>
        <v>Goodluck M</v>
      </c>
      <c r="C37" s="7" t="s">
        <v>21</v>
      </c>
      <c r="D37" s="7">
        <v>6</v>
      </c>
      <c r="E37" s="7">
        <f>D37-DATA!E36</f>
        <v>6</v>
      </c>
      <c r="F37" s="7">
        <f t="shared" si="2"/>
        <v>100</v>
      </c>
      <c r="G37" s="7" t="str">
        <f>IF(ISBLANK(DATA!F36),"",DATA!F36)</f>
        <v/>
      </c>
      <c r="H37" s="7">
        <v>4</v>
      </c>
      <c r="I37" s="7">
        <f>DATA!G36</f>
        <v>0</v>
      </c>
      <c r="J37" s="76">
        <f t="shared" si="3"/>
        <v>0</v>
      </c>
      <c r="K37" s="174" t="str">
        <f>IF(ISBLANK(DATA!H36),"",DATA!H36)</f>
        <v/>
      </c>
    </row>
    <row r="38" spans="1:11" ht="16.5" customHeight="1" thickBot="1" x14ac:dyDescent="0.25">
      <c r="A38" s="206"/>
      <c r="B38" s="98" t="str">
        <f>DATA!B37</f>
        <v>Hashim K</v>
      </c>
      <c r="C38" s="22" t="s">
        <v>22</v>
      </c>
      <c r="D38" s="22">
        <v>6</v>
      </c>
      <c r="E38" s="22">
        <f>D38-DATA!E37</f>
        <v>6</v>
      </c>
      <c r="F38" s="22">
        <f t="shared" si="2"/>
        <v>100</v>
      </c>
      <c r="G38" s="22" t="str">
        <f>IF(ISBLANK(DATA!F37),"",DATA!F37)</f>
        <v/>
      </c>
      <c r="H38" s="22">
        <v>4</v>
      </c>
      <c r="I38" s="22">
        <f>DATA!G37</f>
        <v>0</v>
      </c>
      <c r="J38" s="77">
        <f t="shared" si="3"/>
        <v>0</v>
      </c>
      <c r="K38" s="175" t="str">
        <f>IF(ISBLANK(DATA!H37),"",DATA!H37)</f>
        <v/>
      </c>
    </row>
    <row r="39" spans="1:11" ht="16.5" thickTop="1" thickBot="1" x14ac:dyDescent="0.25">
      <c r="A39" s="198" t="s">
        <v>15</v>
      </c>
      <c r="B39" s="34" t="str">
        <f>DATA!B38</f>
        <v>Bakari S</v>
      </c>
      <c r="C39" s="18" t="s">
        <v>19</v>
      </c>
      <c r="D39" s="18">
        <v>4</v>
      </c>
      <c r="E39" s="18">
        <f>D39-DATA!E38</f>
        <v>4</v>
      </c>
      <c r="F39" s="18">
        <f t="shared" si="0"/>
        <v>100</v>
      </c>
      <c r="G39" s="18" t="str">
        <f>IF(ISBLANK(DATA!F38),"",DATA!F38)</f>
        <v/>
      </c>
      <c r="H39" s="18">
        <v>2</v>
      </c>
      <c r="I39" s="18">
        <f>DATA!G38</f>
        <v>0</v>
      </c>
      <c r="J39" s="72">
        <f t="shared" si="1"/>
        <v>0</v>
      </c>
      <c r="K39" s="170" t="str">
        <f>IF(ISBLANK(DATA!H38),"",DATA!H38)</f>
        <v/>
      </c>
    </row>
    <row r="40" spans="1:11" ht="16.5" thickTop="1" thickBot="1" x14ac:dyDescent="0.25">
      <c r="A40" s="198"/>
      <c r="B40" s="35" t="str">
        <f>DATA!B39</f>
        <v>Mbawala K</v>
      </c>
      <c r="C40" s="6" t="s">
        <v>20</v>
      </c>
      <c r="D40" s="6">
        <v>4</v>
      </c>
      <c r="E40" s="6">
        <f>D40-DATA!E39</f>
        <v>4</v>
      </c>
      <c r="F40" s="6">
        <f t="shared" si="0"/>
        <v>100</v>
      </c>
      <c r="G40" s="6" t="str">
        <f>IF(ISBLANK(DATA!F39),"",DATA!F39)</f>
        <v/>
      </c>
      <c r="H40" s="6">
        <v>2</v>
      </c>
      <c r="I40" s="6">
        <f>DATA!G39</f>
        <v>0</v>
      </c>
      <c r="J40" s="73">
        <f t="shared" si="1"/>
        <v>0</v>
      </c>
      <c r="K40" s="171" t="str">
        <f>IF(ISBLANK(DATA!H39),"",DATA!H39)</f>
        <v/>
      </c>
    </row>
    <row r="41" spans="1:11" ht="16.5" thickTop="1" thickBot="1" x14ac:dyDescent="0.25">
      <c r="A41" s="198"/>
      <c r="B41" s="35" t="str">
        <f>DATA!B40</f>
        <v>Mbawala K</v>
      </c>
      <c r="C41" s="6" t="s">
        <v>21</v>
      </c>
      <c r="D41" s="6">
        <v>4</v>
      </c>
      <c r="E41" s="6">
        <f>D41-DATA!E40</f>
        <v>4</v>
      </c>
      <c r="F41" s="6">
        <f t="shared" si="0"/>
        <v>100</v>
      </c>
      <c r="G41" s="6" t="str">
        <f>IF(ISBLANK(DATA!F40),"",DATA!F40)</f>
        <v/>
      </c>
      <c r="H41" s="6">
        <v>2</v>
      </c>
      <c r="I41" s="6">
        <f>DATA!G40</f>
        <v>0</v>
      </c>
      <c r="J41" s="73">
        <f t="shared" si="1"/>
        <v>0</v>
      </c>
      <c r="K41" s="171" t="str">
        <f>IF(ISBLANK(DATA!H40),"",DATA!H40)</f>
        <v/>
      </c>
    </row>
    <row r="42" spans="1:11" ht="16.5" thickTop="1" thickBot="1" x14ac:dyDescent="0.25">
      <c r="A42" s="198"/>
      <c r="B42" s="36" t="str">
        <f>DATA!B41</f>
        <v>Bakari S</v>
      </c>
      <c r="C42" s="20" t="s">
        <v>22</v>
      </c>
      <c r="D42" s="20">
        <v>4</v>
      </c>
      <c r="E42" s="20">
        <f>D42-DATA!E41</f>
        <v>4</v>
      </c>
      <c r="F42" s="20">
        <f t="shared" si="0"/>
        <v>100</v>
      </c>
      <c r="G42" s="20" t="str">
        <f>IF(ISBLANK(DATA!F41),"",DATA!F41)</f>
        <v/>
      </c>
      <c r="H42" s="20">
        <v>2</v>
      </c>
      <c r="I42" s="20">
        <f>DATA!G41</f>
        <v>0</v>
      </c>
      <c r="J42" s="74">
        <f t="shared" si="1"/>
        <v>0</v>
      </c>
      <c r="K42" s="172" t="str">
        <f>IF(ISBLANK(DATA!H41),"",DATA!H41)</f>
        <v/>
      </c>
    </row>
    <row r="43" spans="1:11" ht="16.5" thickTop="1" thickBot="1" x14ac:dyDescent="0.25">
      <c r="A43" s="199" t="s">
        <v>16</v>
      </c>
      <c r="B43" s="54" t="str">
        <f>DATA!B42</f>
        <v>Alkado E</v>
      </c>
      <c r="C43" s="24" t="s">
        <v>19</v>
      </c>
      <c r="D43" s="24">
        <v>4</v>
      </c>
      <c r="E43" s="24">
        <f>D43-DATA!E42</f>
        <v>4</v>
      </c>
      <c r="F43" s="24">
        <f t="shared" si="0"/>
        <v>100</v>
      </c>
      <c r="G43" s="24" t="str">
        <f>IF(ISBLANK(DATA!F42),"",DATA!F42)</f>
        <v/>
      </c>
      <c r="H43" s="24">
        <v>2</v>
      </c>
      <c r="I43" s="24">
        <f>DATA!G42</f>
        <v>0</v>
      </c>
      <c r="J43" s="81">
        <f t="shared" si="1"/>
        <v>0</v>
      </c>
      <c r="K43" s="180" t="str">
        <f>IF(ISBLANK(DATA!H42),"",DATA!H42)</f>
        <v/>
      </c>
    </row>
    <row r="44" spans="1:11" ht="16.5" thickTop="1" thickBot="1" x14ac:dyDescent="0.25">
      <c r="A44" s="199"/>
      <c r="B44" s="55" t="str">
        <f>DATA!B43</f>
        <v>Masepo J</v>
      </c>
      <c r="C44" s="9" t="s">
        <v>20</v>
      </c>
      <c r="D44" s="9">
        <v>4</v>
      </c>
      <c r="E44" s="9">
        <f>D44-DATA!E43</f>
        <v>4</v>
      </c>
      <c r="F44" s="9">
        <f t="shared" si="0"/>
        <v>100</v>
      </c>
      <c r="G44" s="9" t="str">
        <f>IF(ISBLANK(DATA!F43),"",DATA!F43)</f>
        <v/>
      </c>
      <c r="H44" s="9">
        <v>2</v>
      </c>
      <c r="I44" s="9">
        <f>DATA!G43</f>
        <v>0</v>
      </c>
      <c r="J44" s="82">
        <f t="shared" si="1"/>
        <v>0</v>
      </c>
      <c r="K44" s="181" t="str">
        <f>IF(ISBLANK(DATA!H43),"",DATA!H43)</f>
        <v/>
      </c>
    </row>
    <row r="45" spans="1:11" ht="16.5" thickTop="1" thickBot="1" x14ac:dyDescent="0.25">
      <c r="A45" s="199"/>
      <c r="B45" s="55" t="str">
        <f>DATA!B44</f>
        <v>Masepo J</v>
      </c>
      <c r="C45" s="9" t="s">
        <v>21</v>
      </c>
      <c r="D45" s="9">
        <v>4</v>
      </c>
      <c r="E45" s="9">
        <f>D45-DATA!E44</f>
        <v>4</v>
      </c>
      <c r="F45" s="9">
        <f t="shared" si="0"/>
        <v>100</v>
      </c>
      <c r="G45" s="9" t="str">
        <f>IF(ISBLANK(DATA!F44),"",DATA!F44)</f>
        <v/>
      </c>
      <c r="H45" s="9">
        <v>2</v>
      </c>
      <c r="I45" s="9">
        <f>DATA!G44</f>
        <v>0</v>
      </c>
      <c r="J45" s="82">
        <f t="shared" si="1"/>
        <v>0</v>
      </c>
      <c r="K45" s="181" t="str">
        <f>IF(ISBLANK(DATA!H44),"",DATA!H44)</f>
        <v/>
      </c>
    </row>
    <row r="46" spans="1:11" ht="16.5" thickTop="1" thickBot="1" x14ac:dyDescent="0.25">
      <c r="A46" s="199"/>
      <c r="B46" s="56" t="str">
        <f>DATA!B45</f>
        <v>Alkado E</v>
      </c>
      <c r="C46" s="26" t="s">
        <v>22</v>
      </c>
      <c r="D46" s="26">
        <v>4</v>
      </c>
      <c r="E46" s="26">
        <f>D46-DATA!E45</f>
        <v>4</v>
      </c>
      <c r="F46" s="26">
        <f t="shared" si="0"/>
        <v>100</v>
      </c>
      <c r="G46" s="26" t="str">
        <f>IF(ISBLANK(DATA!F45),"",DATA!F45)</f>
        <v/>
      </c>
      <c r="H46" s="26">
        <v>2</v>
      </c>
      <c r="I46" s="26">
        <f>DATA!G45</f>
        <v>0</v>
      </c>
      <c r="J46" s="83">
        <f t="shared" si="1"/>
        <v>0</v>
      </c>
      <c r="K46" s="182" t="str">
        <f>IF(ISBLANK(DATA!H45),"",DATA!H45)</f>
        <v/>
      </c>
    </row>
    <row r="47" spans="1:11" ht="16.5" thickTop="1" thickBot="1" x14ac:dyDescent="0.25">
      <c r="A47" s="207" t="s">
        <v>17</v>
      </c>
      <c r="B47" s="57" t="str">
        <f>DATA!B46</f>
        <v>Bunzule J</v>
      </c>
      <c r="C47" s="25" t="s">
        <v>19</v>
      </c>
      <c r="D47" s="25">
        <v>4</v>
      </c>
      <c r="E47" s="25">
        <f>D47-DATA!E46</f>
        <v>4</v>
      </c>
      <c r="F47" s="25">
        <f t="shared" si="0"/>
        <v>100</v>
      </c>
      <c r="G47" s="25" t="str">
        <f>IF(ISBLANK(DATA!F46),"",DATA!F46)</f>
        <v/>
      </c>
      <c r="H47" s="25">
        <v>2</v>
      </c>
      <c r="I47" s="25">
        <f>DATA!G46</f>
        <v>0</v>
      </c>
      <c r="J47" s="84">
        <f t="shared" si="1"/>
        <v>0</v>
      </c>
      <c r="K47" s="183" t="str">
        <f>IF(ISBLANK(DATA!H46),"",DATA!H46)</f>
        <v/>
      </c>
    </row>
    <row r="48" spans="1:11" ht="16.5" thickTop="1" thickBot="1" x14ac:dyDescent="0.25">
      <c r="A48" s="207"/>
      <c r="B48" s="58" t="str">
        <f>DATA!B47</f>
        <v>Bunzule J</v>
      </c>
      <c r="C48" s="10" t="s">
        <v>20</v>
      </c>
      <c r="D48" s="10">
        <v>4</v>
      </c>
      <c r="E48" s="10">
        <f>D48-DATA!E47</f>
        <v>4</v>
      </c>
      <c r="F48" s="10">
        <f t="shared" si="0"/>
        <v>100</v>
      </c>
      <c r="G48" s="10" t="str">
        <f>IF(ISBLANK(DATA!F47),"",DATA!F47)</f>
        <v/>
      </c>
      <c r="H48" s="10">
        <v>2</v>
      </c>
      <c r="I48" s="10">
        <f>DATA!G47</f>
        <v>0</v>
      </c>
      <c r="J48" s="85">
        <f t="shared" si="1"/>
        <v>0</v>
      </c>
      <c r="K48" s="184" t="str">
        <f>IF(ISBLANK(DATA!H47),"",DATA!H47)</f>
        <v/>
      </c>
    </row>
    <row r="49" spans="1:14" ht="16.5" thickTop="1" thickBot="1" x14ac:dyDescent="0.25">
      <c r="A49" s="207"/>
      <c r="B49" s="58" t="str">
        <f>DATA!B48</f>
        <v>-</v>
      </c>
      <c r="C49" s="10" t="s">
        <v>21</v>
      </c>
      <c r="D49" s="10" t="s">
        <v>45</v>
      </c>
      <c r="E49" s="10" t="s">
        <v>45</v>
      </c>
      <c r="F49" s="10" t="s">
        <v>45</v>
      </c>
      <c r="G49" s="10" t="str">
        <f>IF(ISBLANK(DATA!F48),"",DATA!F48)</f>
        <v/>
      </c>
      <c r="H49" s="10" t="s">
        <v>45</v>
      </c>
      <c r="I49" s="10" t="s">
        <v>45</v>
      </c>
      <c r="J49" s="85" t="s">
        <v>45</v>
      </c>
      <c r="K49" s="184" t="str">
        <f>IF(ISBLANK(DATA!H48),"",DATA!H48)</f>
        <v/>
      </c>
    </row>
    <row r="50" spans="1:14" ht="16.5" thickTop="1" thickBot="1" x14ac:dyDescent="0.25">
      <c r="A50" s="207"/>
      <c r="B50" s="59" t="str">
        <f>DATA!B49</f>
        <v>-</v>
      </c>
      <c r="C50" s="28" t="s">
        <v>22</v>
      </c>
      <c r="D50" s="28" t="s">
        <v>45</v>
      </c>
      <c r="E50" s="28" t="s">
        <v>45</v>
      </c>
      <c r="F50" s="28" t="s">
        <v>45</v>
      </c>
      <c r="G50" s="28" t="str">
        <f>IF(ISBLANK(DATA!F49),"",DATA!F49)</f>
        <v/>
      </c>
      <c r="H50" s="28" t="s">
        <v>45</v>
      </c>
      <c r="I50" s="28" t="s">
        <v>45</v>
      </c>
      <c r="J50" s="28" t="s">
        <v>45</v>
      </c>
      <c r="K50" s="185" t="str">
        <f>IF(ISBLANK(DATA!H49),"",DATA!H49)</f>
        <v/>
      </c>
    </row>
    <row r="51" spans="1:14" ht="16.5" thickTop="1" thickBot="1" x14ac:dyDescent="0.25">
      <c r="A51" s="208" t="s">
        <v>18</v>
      </c>
      <c r="B51" s="60" t="str">
        <f>DATA!B50</f>
        <v>-</v>
      </c>
      <c r="C51" s="27" t="s">
        <v>19</v>
      </c>
      <c r="D51" s="27" t="s">
        <v>45</v>
      </c>
      <c r="E51" s="27" t="s">
        <v>45</v>
      </c>
      <c r="F51" s="27" t="s">
        <v>45</v>
      </c>
      <c r="G51" s="27" t="str">
        <f>IF(ISBLANK(DATA!F50),"",DATA!F50)</f>
        <v/>
      </c>
      <c r="H51" s="27" t="s">
        <v>45</v>
      </c>
      <c r="I51" s="27" t="s">
        <v>45</v>
      </c>
      <c r="J51" s="27" t="s">
        <v>45</v>
      </c>
      <c r="K51" s="186" t="str">
        <f>IF(ISBLANK(DATA!H50),"",DATA!H50)</f>
        <v/>
      </c>
    </row>
    <row r="52" spans="1:14" ht="16.5" thickTop="1" thickBot="1" x14ac:dyDescent="0.25">
      <c r="A52" s="208"/>
      <c r="B52" s="61" t="str">
        <f>DATA!B51</f>
        <v>-</v>
      </c>
      <c r="C52" s="11" t="s">
        <v>20</v>
      </c>
      <c r="D52" s="11" t="s">
        <v>45</v>
      </c>
      <c r="E52" s="11" t="s">
        <v>45</v>
      </c>
      <c r="F52" s="11" t="s">
        <v>45</v>
      </c>
      <c r="G52" s="11" t="str">
        <f>IF(ISBLANK(DATA!F51),"",DATA!F51)</f>
        <v/>
      </c>
      <c r="H52" s="11" t="s">
        <v>45</v>
      </c>
      <c r="I52" s="11" t="s">
        <v>45</v>
      </c>
      <c r="J52" s="11" t="s">
        <v>45</v>
      </c>
      <c r="K52" s="187" t="str">
        <f>IF(ISBLANK(DATA!H51),"",DATA!H51)</f>
        <v/>
      </c>
    </row>
    <row r="53" spans="1:14" ht="16.5" thickTop="1" thickBot="1" x14ac:dyDescent="0.25">
      <c r="A53" s="208"/>
      <c r="B53" s="61" t="str">
        <f>DATA!B52</f>
        <v>Ramadhan K</v>
      </c>
      <c r="C53" s="11" t="s">
        <v>21</v>
      </c>
      <c r="D53" s="11">
        <v>4</v>
      </c>
      <c r="E53" s="11">
        <f>D53-DATA!E52</f>
        <v>4</v>
      </c>
      <c r="F53" s="11">
        <f t="shared" si="0"/>
        <v>100</v>
      </c>
      <c r="G53" s="11" t="str">
        <f>IF(ISBLANK(DATA!F52),"",DATA!F52)</f>
        <v/>
      </c>
      <c r="H53" s="11">
        <v>2</v>
      </c>
      <c r="I53" s="11">
        <f>DATA!G52</f>
        <v>0</v>
      </c>
      <c r="J53" s="86">
        <f t="shared" si="1"/>
        <v>0</v>
      </c>
      <c r="K53" s="187" t="str">
        <f>IF(ISBLANK(DATA!H52),"",DATA!H52)</f>
        <v/>
      </c>
    </row>
    <row r="54" spans="1:14" ht="16.5" thickTop="1" thickBot="1" x14ac:dyDescent="0.25">
      <c r="A54" s="208"/>
      <c r="B54" s="62" t="str">
        <f>DATA!B53</f>
        <v>-</v>
      </c>
      <c r="C54" s="29" t="s">
        <v>22</v>
      </c>
      <c r="D54" s="29" t="s">
        <v>45</v>
      </c>
      <c r="E54" s="29" t="s">
        <v>45</v>
      </c>
      <c r="F54" s="29" t="s">
        <v>45</v>
      </c>
      <c r="G54" s="29" t="str">
        <f>IF(ISBLANK(DATA!F53),"",DATA!F53)</f>
        <v/>
      </c>
      <c r="H54" s="29" t="s">
        <v>45</v>
      </c>
      <c r="I54" s="29" t="s">
        <v>45</v>
      </c>
      <c r="J54" s="29" t="s">
        <v>45</v>
      </c>
      <c r="K54" s="188" t="str">
        <f>IF(ISBLANK(DATA!H53),"",DATA!H53)</f>
        <v/>
      </c>
    </row>
    <row r="55" spans="1:14" ht="15.75" thickTop="1" x14ac:dyDescent="0.2"/>
    <row r="56" spans="1:14" x14ac:dyDescent="0.2">
      <c r="A56" s="92" t="s">
        <v>50</v>
      </c>
      <c r="B56" s="1" t="str">
        <f>D6</f>
        <v>NO Period</v>
      </c>
      <c r="D56" s="1">
        <f>SUM(D7:D54)</f>
        <v>271</v>
      </c>
      <c r="E56" s="92" t="s">
        <v>50</v>
      </c>
      <c r="F56" s="1" t="str">
        <f>H6</f>
        <v>NOL Plan</v>
      </c>
      <c r="J56" s="1">
        <f>SUM(H7:H54)</f>
        <v>152</v>
      </c>
    </row>
    <row r="57" spans="1:14" x14ac:dyDescent="0.2">
      <c r="B57" s="1" t="str">
        <f>E6</f>
        <v>NOP Taught</v>
      </c>
      <c r="D57" s="1">
        <f>SUM(E7:E54)</f>
        <v>271</v>
      </c>
      <c r="F57" s="1" t="str">
        <f>I6</f>
        <v>NOLP Prepd</v>
      </c>
      <c r="J57" s="1">
        <f>SUM(I7:I54)</f>
        <v>0</v>
      </c>
    </row>
    <row r="58" spans="1:14" x14ac:dyDescent="0.2">
      <c r="B58" s="1" t="s">
        <v>51</v>
      </c>
      <c r="D58" s="1">
        <f>D57/D56*100</f>
        <v>100</v>
      </c>
      <c r="F58" s="1" t="s">
        <v>52</v>
      </c>
      <c r="J58" s="1">
        <f>J57/J56*100</f>
        <v>0</v>
      </c>
    </row>
    <row r="59" spans="1:14" ht="72" customHeight="1" x14ac:dyDescent="0.2">
      <c r="A59" s="194" t="s">
        <v>64</v>
      </c>
      <c r="B59" s="211" t="str">
        <f>IF(ISBLANK(DATA!B57),"",DATA!B57)</f>
        <v/>
      </c>
      <c r="C59" s="211"/>
      <c r="D59" s="211"/>
      <c r="E59" s="211"/>
      <c r="F59" s="211"/>
      <c r="G59" s="211"/>
      <c r="H59" s="211"/>
      <c r="I59" s="211"/>
      <c r="J59" s="211"/>
      <c r="K59" s="211"/>
    </row>
    <row r="61" spans="1:14" x14ac:dyDescent="0.2">
      <c r="A61" s="1" t="s">
        <v>66</v>
      </c>
      <c r="D61" s="1" t="s">
        <v>67</v>
      </c>
      <c r="F61" s="93"/>
      <c r="G61" s="191"/>
      <c r="H61" s="203" t="str">
        <f>H5&amp;" "&amp;I5&amp;" "&amp;J5&amp;" "&amp;K5</f>
        <v>Thurs 13 FEB 2026</v>
      </c>
      <c r="I61" s="203"/>
      <c r="J61" s="203"/>
      <c r="K61" s="190"/>
      <c r="L61" s="94"/>
      <c r="M61" s="94"/>
      <c r="N61" s="94"/>
    </row>
  </sheetData>
  <sheetProtection selectLockedCells="1" selectUnlockedCells="1"/>
  <mergeCells count="17">
    <mergeCell ref="H61:J61"/>
    <mergeCell ref="A35:A38"/>
    <mergeCell ref="A2:K2"/>
    <mergeCell ref="A47:A50"/>
    <mergeCell ref="A51:A54"/>
    <mergeCell ref="A23:A26"/>
    <mergeCell ref="A27:A30"/>
    <mergeCell ref="A31:A34"/>
    <mergeCell ref="B59:K59"/>
    <mergeCell ref="A1:K1"/>
    <mergeCell ref="A3:K3"/>
    <mergeCell ref="A39:A42"/>
    <mergeCell ref="A43:A46"/>
    <mergeCell ref="A7:A10"/>
    <mergeCell ref="A11:A14"/>
    <mergeCell ref="A15:A18"/>
    <mergeCell ref="A19:A22"/>
  </mergeCells>
  <phoneticPr fontId="6" type="noConversion"/>
  <pageMargins left="0.7" right="0.45" top="0.75" bottom="0.5" header="0.3" footer="0.3"/>
  <pageSetup paperSize="9" scale="86" orientation="landscape" r:id="rId1"/>
  <headerFooter>
    <oddFooter>&amp;R&amp;"Tahoma,Bold Italic"&amp;P of &amp;N</oddFooter>
  </headerFooter>
  <rowBreaks count="1" manualBreakCount="1">
    <brk id="30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OUTPUT</vt:lpstr>
      <vt:lpstr>OUTPUT!Print_Area</vt:lpstr>
      <vt:lpstr>OUTPUT!Print_Titles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Lawi Wilfred</cp:lastModifiedBy>
  <cp:lastPrinted>2026-02-12T12:56:03Z</cp:lastPrinted>
  <dcterms:created xsi:type="dcterms:W3CDTF">2026-01-22T12:33:13Z</dcterms:created>
  <dcterms:modified xsi:type="dcterms:W3CDTF">2026-02-13T13:38:15Z</dcterms:modified>
</cp:coreProperties>
</file>